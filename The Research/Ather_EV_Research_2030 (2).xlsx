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E5478506-6CC2-4272-983F-541EAA21F40B}" xr6:coauthVersionLast="47" xr6:coauthVersionMax="47" xr10:uidLastSave="{00000000-0000-0000-0000-000000000000}"/>
  <bookViews>
    <workbookView xWindow="0" yWindow="0" windowWidth="16384" windowHeight="8192" tabRatio="500" firstSheet="2" xr2:uid="{00000000-000D-0000-FFFF-FFFF00000000}"/>
  </bookViews>
  <sheets>
    <sheet name="🏠 INTRO" sheetId="1" r:id="rId1"/>
    <sheet name="📈 Market Analysis" sheetId="2" r:id="rId2"/>
    <sheet name="🏢 Company Profile" sheetId="3" r:id="rId3"/>
    <sheet name="⚔️ Competitor Matrix" sheetId="4" r:id="rId4"/>
    <sheet name="💰 Financial Model" sheetId="5" r:id="rId5"/>
    <sheet name="🔍 SWOT Analysis" sheetId="6" r:id="rId6"/>
    <sheet name="🏆 Verdict &amp; Strategy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5" l="1"/>
  <c r="G28" i="5"/>
  <c r="F28" i="5"/>
  <c r="E28" i="5"/>
  <c r="D28" i="5"/>
  <c r="C28" i="5"/>
  <c r="B28" i="5"/>
  <c r="J27" i="5"/>
  <c r="I27" i="5"/>
  <c r="H23" i="5"/>
  <c r="G23" i="5"/>
  <c r="F23" i="5"/>
  <c r="E23" i="5"/>
  <c r="D23" i="5"/>
  <c r="C23" i="5"/>
  <c r="B23" i="5"/>
  <c r="J22" i="5"/>
  <c r="I22" i="5"/>
  <c r="H18" i="5"/>
  <c r="G18" i="5"/>
  <c r="F18" i="5"/>
  <c r="E18" i="5"/>
  <c r="D18" i="5"/>
  <c r="C18" i="5"/>
  <c r="B18" i="5"/>
  <c r="J17" i="5"/>
  <c r="I17" i="5"/>
  <c r="H31" i="4"/>
  <c r="G31" i="4"/>
  <c r="F31" i="4"/>
  <c r="E31" i="4"/>
  <c r="D31" i="4"/>
  <c r="C31" i="4"/>
  <c r="B31" i="4"/>
  <c r="G15" i="2"/>
  <c r="E15" i="2"/>
  <c r="D15" i="2"/>
  <c r="G14" i="2"/>
  <c r="E14" i="2"/>
  <c r="D14" i="2"/>
  <c r="G13" i="2"/>
  <c r="E13" i="2"/>
  <c r="D13" i="2"/>
  <c r="G12" i="2"/>
  <c r="E12" i="2"/>
  <c r="D12" i="2"/>
  <c r="G11" i="2"/>
  <c r="E11" i="2"/>
  <c r="D11" i="2"/>
  <c r="G10" i="2"/>
  <c r="E10" i="2"/>
  <c r="D10" i="2"/>
  <c r="G9" i="2"/>
  <c r="E9" i="2"/>
  <c r="D9" i="2"/>
  <c r="G8" i="2"/>
  <c r="E8" i="2"/>
  <c r="D8" i="2"/>
  <c r="G7" i="2"/>
  <c r="E7" i="2"/>
  <c r="D7" i="2"/>
  <c r="G6" i="2"/>
  <c r="E6" i="2"/>
  <c r="D6" i="2"/>
  <c r="G5" i="2"/>
  <c r="D5" i="2"/>
  <c r="J18" i="5" l="1"/>
  <c r="I18" i="5"/>
  <c r="J23" i="5"/>
  <c r="I23" i="5"/>
  <c r="J28" i="5"/>
  <c r="I28" i="5"/>
</calcChain>
</file>

<file path=xl/sharedStrings.xml><?xml version="1.0" encoding="utf-8"?>
<sst xmlns="http://schemas.openxmlformats.org/spreadsheetml/2006/main" count="569" uniqueCount="469">
  <si>
    <t>CAN ATHER BECOME THE LEADING EV BRAND BY 2030?</t>
  </si>
  <si>
    <t>A Comprehensive Research &amp; Analysis Report  |  India EV Two-Wheeler Market  |  2024–2030</t>
  </si>
  <si>
    <t>📋  RESEARCH VERDICT SUMMARY</t>
  </si>
  <si>
    <t>Market Opportunity</t>
  </si>
  <si>
    <t>Indian EV 2W market projected to reach 10M+ units by 2030 (CAGR ~40%)</t>
  </si>
  <si>
    <t>✅ STRONG</t>
  </si>
  <si>
    <t>Ather Market Share</t>
  </si>
  <si>
    <t>Currently ~12% share; needs 25%+ to claim leadership</t>
  </si>
  <si>
    <t>⚠️  CHALLENGING</t>
  </si>
  <si>
    <t>Competition Intensity</t>
  </si>
  <si>
    <t>Ola, TVS, Bajaj, Hero all aggressively expanding capacity</t>
  </si>
  <si>
    <t>🔴 HIGH RISK</t>
  </si>
  <si>
    <t>Technology Edge</t>
  </si>
  <si>
    <t>Ather leads on software, charging infra (AtherGrid), &amp; performance</t>
  </si>
  <si>
    <t>✅ ADVANTAGE</t>
  </si>
  <si>
    <t>Financial Readiness</t>
  </si>
  <si>
    <t>Backed by Hero MotoCorp; needs more capital for scale-up</t>
  </si>
  <si>
    <t>⚠️  WATCH</t>
  </si>
  <si>
    <t>Overall Verdict</t>
  </si>
  <si>
    <t>Ather can be a TOP-3 leader but outright #1 by 2030 is uncertain</t>
  </si>
  <si>
    <t>⚖️  POSSIBLE</t>
  </si>
  <si>
    <t>📊  KEY METRICS AT A GLANCE</t>
  </si>
  <si>
    <t>Ather Founded</t>
  </si>
  <si>
    <t>HQ</t>
  </si>
  <si>
    <t>Key Investor</t>
  </si>
  <si>
    <t>Models</t>
  </si>
  <si>
    <t>AtherGrid Stations</t>
  </si>
  <si>
    <t>Current Market Share</t>
  </si>
  <si>
    <t>Manufacturing Capacity</t>
  </si>
  <si>
    <t>Valuation (est.)</t>
  </si>
  <si>
    <t>Target 2030 Share</t>
  </si>
  <si>
    <t>2013</t>
  </si>
  <si>
    <t>Bengaluru</t>
  </si>
  <si>
    <t>Hero MotoCorp</t>
  </si>
  <si>
    <t>Ather 450X, 450S, Rizta</t>
  </si>
  <si>
    <t>2,000+</t>
  </si>
  <si>
    <t>~12%</t>
  </si>
  <si>
    <t>4.2L units/yr</t>
  </si>
  <si>
    <t>~$1B+</t>
  </si>
  <si>
    <t>25%+</t>
  </si>
  <si>
    <t>Tarun Mehta &amp; Swapnil Jain</t>
  </si>
  <si>
    <t>India</t>
  </si>
  <si>
    <t>~40% Stake</t>
  </si>
  <si>
    <t>2024 lineup</t>
  </si>
  <si>
    <t>Nationwide network</t>
  </si>
  <si>
    <t>India EV 2W (2024)</t>
  </si>
  <si>
    <t>Hosur plant</t>
  </si>
  <si>
    <t>Unicorn status</t>
  </si>
  <si>
    <t>Required for #1</t>
  </si>
  <si>
    <t>📂  WORKBOOK CONTENTS</t>
  </si>
  <si>
    <t>🏠 Dashboard</t>
  </si>
  <si>
    <t>Summary verdicts, KPIs, and workbook guide</t>
  </si>
  <si>
    <t>📈 Market Analysis</t>
  </si>
  <si>
    <t>India EV 2W market size, growth forecasts, segment breakdown</t>
  </si>
  <si>
    <t>🏢 Company Profile</t>
  </si>
  <si>
    <t>Ather Energy – history, products, technology, financials</t>
  </si>
  <si>
    <t>⚔️ Competitor Matrix</t>
  </si>
  <si>
    <t>Ola, TVS, Bajaj, Hero, Vida – side-by-side comparison</t>
  </si>
  <si>
    <t>💰 Financial Model</t>
  </si>
  <si>
    <t>Revenue projections, market share scenarios to 2030</t>
  </si>
  <si>
    <t>🔍 SWOT Analysis</t>
  </si>
  <si>
    <t>Strengths, Weaknesses, Opportunities, Threats</t>
  </si>
  <si>
    <t>🏆 Verdict &amp; Strategy</t>
  </si>
  <si>
    <t>Final answer + strategic recommendations</t>
  </si>
  <si>
    <t>INDIA EV TWO-WHEELER MARKET ANALYSIS</t>
  </si>
  <si>
    <t>Market Size &amp; Growth (Units Sold – India EV 2W)</t>
  </si>
  <si>
    <t>Year</t>
  </si>
  <si>
    <t>Total 2W Market (M)</t>
  </si>
  <si>
    <t>EV 2W Units (L)</t>
  </si>
  <si>
    <t>EV Penetration %</t>
  </si>
  <si>
    <t>YoY Growth %</t>
  </si>
  <si>
    <t>Ather Units (L)</t>
  </si>
  <si>
    <t>Ather Share %</t>
  </si>
  <si>
    <t>Top Player</t>
  </si>
  <si>
    <t>Top Share %</t>
  </si>
  <si>
    <t>—</t>
  </si>
  <si>
    <t>28%</t>
  </si>
  <si>
    <t>Ola Electric</t>
  </si>
  <si>
    <t>22%</t>
  </si>
  <si>
    <t>35%</t>
  </si>
  <si>
    <t>32%</t>
  </si>
  <si>
    <t>30%</t>
  </si>
  <si>
    <t>TBD</t>
  </si>
  <si>
    <t>~28%</t>
  </si>
  <si>
    <t>~25%</t>
  </si>
  <si>
    <t>~23%</t>
  </si>
  <si>
    <t>~22%</t>
  </si>
  <si>
    <t>~20%</t>
  </si>
  <si>
    <t>Sources: VAHAN data, SIAM, BloombergNEF, Ather investor presentations. Projections are estimates.</t>
  </si>
  <si>
    <t>KEY MARKET DRIVERS &amp; HEADWINDS</t>
  </si>
  <si>
    <t>Driver / Headwind</t>
  </si>
  <si>
    <t>Description</t>
  </si>
  <si>
    <t>Impact</t>
  </si>
  <si>
    <t>Probability</t>
  </si>
  <si>
    <t>Timeline</t>
  </si>
  <si>
    <t>✅ FAME-III Subsidies</t>
  </si>
  <si>
    <t>Government EV subsidy scheme extending post-2024; ~₹10,000–15,000 per vehicle</t>
  </si>
  <si>
    <t>High</t>
  </si>
  <si>
    <t>85%</t>
  </si>
  <si>
    <t>2025–2027</t>
  </si>
  <si>
    <t>✅ Rising Petrol Prices</t>
  </si>
  <si>
    <t>Fuel costs driving TCO advantage for EVs; breakeven at ₹90/L already crossed</t>
  </si>
  <si>
    <t>90%</t>
  </si>
  <si>
    <t>Now</t>
  </si>
  <si>
    <t>✅ PLI Scheme</t>
  </si>
  <si>
    <t>Production-linked incentives boosting domestic cell manufacturing</t>
  </si>
  <si>
    <t>Medium</t>
  </si>
  <si>
    <t>80%</t>
  </si>
  <si>
    <t>2025–2028</t>
  </si>
  <si>
    <t>✅ 2W Urbanization</t>
  </si>
  <si>
    <t>Tier-1 &amp; Tier-2 city penetration of EVs accelerating</t>
  </si>
  <si>
    <t>Now–2027</t>
  </si>
  <si>
    <t>✅ AtherGrid Advantage</t>
  </si>
  <si>
    <t>Fast-charging infra removes range anxiety; first-mover advantage</t>
  </si>
  <si>
    <t>⚠️ Battery Cost</t>
  </si>
  <si>
    <t>Lithium prices volatile; cell costs key risk to margins</t>
  </si>
  <si>
    <t>60%</t>
  </si>
  <si>
    <t>Ongoing</t>
  </si>
  <si>
    <t>⚠️ Range Anxiety</t>
  </si>
  <si>
    <t>Rural India still lacks charging infra; limits expansion</t>
  </si>
  <si>
    <t>70%</t>
  </si>
  <si>
    <t>🔴 Legacy OEM Entry</t>
  </si>
  <si>
    <t>TVS, Bajaj, Hero entering aggressively with scale advantages</t>
  </si>
  <si>
    <t>95%</t>
  </si>
  <si>
    <t>🔴 Ola Pricing War</t>
  </si>
  <si>
    <t>Ola S1 range starting ₹79,999 – price pressure on premium players</t>
  </si>
  <si>
    <t>⚠️ Policy Reversal Risk</t>
  </si>
  <si>
    <t>State-level subsidy inconsistency; policy uncertainty</t>
  </si>
  <si>
    <t>Low-Med</t>
  </si>
  <si>
    <t>40%</t>
  </si>
  <si>
    <t>Anytime</t>
  </si>
  <si>
    <t>ATHER ENERGY – COMPANY DEEP DIVE</t>
  </si>
  <si>
    <t>COMPANY OVERVIEW</t>
  </si>
  <si>
    <t>Parameter</t>
  </si>
  <si>
    <t>Value</t>
  </si>
  <si>
    <t>Notes</t>
  </si>
  <si>
    <t>Founded</t>
  </si>
  <si>
    <t>By Tarun Mehta &amp; Swapnil Jain – IIT Madras alumni</t>
  </si>
  <si>
    <t>Headquarters</t>
  </si>
  <si>
    <t>Bengaluru, India</t>
  </si>
  <si>
    <t>R&amp;D + Corporate HQ</t>
  </si>
  <si>
    <t>Manufacturing</t>
  </si>
  <si>
    <t>Hosur, Tamil Nadu</t>
  </si>
  <si>
    <t>4.2 Lakh units/year capacity; expansion planned</t>
  </si>
  <si>
    <t>Employees</t>
  </si>
  <si>
    <t>~3,000+</t>
  </si>
  <si>
    <t>Engineers, designers, supply chain</t>
  </si>
  <si>
    <t>Key Backer</t>
  </si>
  <si>
    <t>~40% stake; strategic not just financial</t>
  </si>
  <si>
    <t>Other Investors</t>
  </si>
  <si>
    <t>Tiger Global, Sachin Bansal, GIC</t>
  </si>
  <si>
    <t>Series E+ funding</t>
  </si>
  <si>
    <t>Total Funding Raised</t>
  </si>
  <si>
    <t>~₹4,500 Cr+</t>
  </si>
  <si>
    <t>Across multiple rounds</t>
  </si>
  <si>
    <t>Valuation</t>
  </si>
  <si>
    <t>~$1B+ (Unicorn)</t>
  </si>
  <si>
    <t>Based on latest funding round</t>
  </si>
  <si>
    <t>IPO Plans</t>
  </si>
  <si>
    <t>2025–2026 (Target)</t>
  </si>
  <si>
    <t>Filed DRHP with SEBI</t>
  </si>
  <si>
    <t>Mission</t>
  </si>
  <si>
    <t>Build the best electric vehicle ecosystem</t>
  </si>
  <si>
    <t>Hardware + Software + Charging infra</t>
  </si>
  <si>
    <t>PRODUCT LINEUP</t>
  </si>
  <si>
    <t>Model</t>
  </si>
  <si>
    <t>Segment</t>
  </si>
  <si>
    <t>Price (OTR)</t>
  </si>
  <si>
    <t>Range</t>
  </si>
  <si>
    <t>Battery</t>
  </si>
  <si>
    <t>Performance</t>
  </si>
  <si>
    <t>Key Differentiator</t>
  </si>
  <si>
    <t>Ather 450X Gen 3</t>
  </si>
  <si>
    <t>Premium Performance</t>
  </si>
  <si>
    <t>₹1,49,900</t>
  </si>
  <si>
    <t>146 km</t>
  </si>
  <si>
    <t>3.7 kWh</t>
  </si>
  <si>
    <t>0–40 in 3.3s</t>
  </si>
  <si>
    <t>Top-of-line; 7" touchscreen; 4G connected</t>
  </si>
  <si>
    <t>Ather 450S</t>
  </si>
  <si>
    <t>Mid-Premium</t>
  </si>
  <si>
    <t>₹1,29,900</t>
  </si>
  <si>
    <t>115 km</t>
  </si>
  <si>
    <t>2.9 kWh</t>
  </si>
  <si>
    <t>0–40 in 3.9s</t>
  </si>
  <si>
    <t>Value variant of 450X; same platform</t>
  </si>
  <si>
    <t>Ather Rizta Z</t>
  </si>
  <si>
    <t>Family Scooter</t>
  </si>
  <si>
    <t>₹1,09,999</t>
  </si>
  <si>
    <t>160 km</t>
  </si>
  <si>
    <t>Comfort-tuned</t>
  </si>
  <si>
    <t>Targeting mass market; bigger seat, storage</t>
  </si>
  <si>
    <t>Ather Rizta S</t>
  </si>
  <si>
    <t>Family Entry</t>
  </si>
  <si>
    <t>₹99,999</t>
  </si>
  <si>
    <t>123 km</t>
  </si>
  <si>
    <t>Entry into sub-1L segment; volume driver</t>
  </si>
  <si>
    <t>TECHNOLOGY DIFFERENTIATORS</t>
  </si>
  <si>
    <t>Technology</t>
  </si>
  <si>
    <t>Description &amp; Competitive Advantage</t>
  </si>
  <si>
    <t>Ather OS (AtherStack)</t>
  </si>
  <si>
    <t>Proprietary connected vehicle software; OTA updates; navigation; community features – no competitor matches depth</t>
  </si>
  <si>
    <t>AtherGrid Fast Chargers</t>
  </si>
  <si>
    <t>2,000+ DC fast-charging stations; 1 km/min charge rate; own network gives ecosystem lock-in</t>
  </si>
  <si>
    <t>Magic Twist Throttle</t>
  </si>
  <si>
    <t>Regenerative braking integrated into throttle for one-hand ride control – patented UX</t>
  </si>
  <si>
    <t>Vehicle Intelligence</t>
  </si>
  <si>
    <t>Real-time diagnostics, trip analytics, remote monitoring via app – best-in-class data flywheel</t>
  </si>
  <si>
    <t>Chassis &amp; Suspension</t>
  </si>
  <si>
    <t>In-house developed aluminium frame; tuned suspension – benchmark in ride quality</t>
  </si>
  <si>
    <t>Battery Management System</t>
  </si>
  <si>
    <t>Proprietary BMS ensures longevity; 70%+ capacity guaranteed for 50,000 km or 5 years</t>
  </si>
  <si>
    <t>EV 2-WHEELER COMPETITOR ANALYSIS MATRIX</t>
  </si>
  <si>
    <t>Ather Energy</t>
  </si>
  <si>
    <t>TVS iQube</t>
  </si>
  <si>
    <t>Bajaj Chetak</t>
  </si>
  <si>
    <t>Hero Vida V2</t>
  </si>
  <si>
    <t>Bounce Infinity</t>
  </si>
  <si>
    <t>Simple One</t>
  </si>
  <si>
    <t>Rating Winner</t>
  </si>
  <si>
    <t>Founded / Parent</t>
  </si>
  <si>
    <t>2013 (Independent)</t>
  </si>
  <si>
    <t>2021 (Ola Group)</t>
  </si>
  <si>
    <t>TVS Motor (Legacy)</t>
  </si>
  <si>
    <t>Bajaj Auto (Legacy)</t>
  </si>
  <si>
    <t>2015 (SoftBank backed)</t>
  </si>
  <si>
    <t>2019 (Startup)</t>
  </si>
  <si>
    <t>Ather / TVS</t>
  </si>
  <si>
    <t>2024 Market Share %</t>
  </si>
  <si>
    <t>~32%</t>
  </si>
  <si>
    <t>~14%</t>
  </si>
  <si>
    <t>~6%</t>
  </si>
  <si>
    <t>~5%</t>
  </si>
  <si>
    <t>~3%</t>
  </si>
  <si>
    <t>~2%</t>
  </si>
  <si>
    <t>Entry Price (₹)</t>
  </si>
  <si>
    <t>99,999</t>
  </si>
  <si>
    <t>79,999</t>
  </si>
  <si>
    <t>1,04,999</t>
  </si>
  <si>
    <t>1,07,000</t>
  </si>
  <si>
    <t>89,999</t>
  </si>
  <si>
    <t>68,999</t>
  </si>
  <si>
    <t>1,09,999</t>
  </si>
  <si>
    <t>Ola / Bounce</t>
  </si>
  <si>
    <t>Top Range (km)</t>
  </si>
  <si>
    <t>160</t>
  </si>
  <si>
    <t>195</t>
  </si>
  <si>
    <t>145</t>
  </si>
  <si>
    <t>126</t>
  </si>
  <si>
    <t>165</t>
  </si>
  <si>
    <t>85</t>
  </si>
  <si>
    <t>212</t>
  </si>
  <si>
    <t>Fast Charging</t>
  </si>
  <si>
    <t>Yes (AtherGrid)</t>
  </si>
  <si>
    <t>Yes (Hypercharger)</t>
  </si>
  <si>
    <t>Yes (limited)</t>
  </si>
  <si>
    <t>No</t>
  </si>
  <si>
    <t>Yes</t>
  </si>
  <si>
    <t>Ather / Ola</t>
  </si>
  <si>
    <t>Own Charging Network</t>
  </si>
  <si>
    <t>✅ Yes (2000+)</t>
  </si>
  <si>
    <t>✅ Yes (10,000+)</t>
  </si>
  <si>
    <t>❌ No</t>
  </si>
  <si>
    <t>⚠️ Partial</t>
  </si>
  <si>
    <t>Connected Features</t>
  </si>
  <si>
    <t>⭐⭐⭐⭐⭐</t>
  </si>
  <si>
    <t>⭐⭐⭐⭐</t>
  </si>
  <si>
    <t>⭐⭐⭐</t>
  </si>
  <si>
    <t>⭐⭐</t>
  </si>
  <si>
    <t>Build Quality / Ride</t>
  </si>
  <si>
    <t>After-Sales Network</t>
  </si>
  <si>
    <t>600+ cities</t>
  </si>
  <si>
    <t>500+ cities</t>
  </si>
  <si>
    <t>1200+ cities</t>
  </si>
  <si>
    <t>1000+ cities</t>
  </si>
  <si>
    <t>5000+ cities</t>
  </si>
  <si>
    <t>Limited</t>
  </si>
  <si>
    <t>Hero Vida</t>
  </si>
  <si>
    <t>4.2L/yr</t>
  </si>
  <si>
    <t>10L/yr</t>
  </si>
  <si>
    <t>3L/yr</t>
  </si>
  <si>
    <t>2L/yr</t>
  </si>
  <si>
    <t>5L/yr</t>
  </si>
  <si>
    <t>1L/yr</t>
  </si>
  <si>
    <t>Profitability</t>
  </si>
  <si>
    <t>Not yet</t>
  </si>
  <si>
    <t>Profitable</t>
  </si>
  <si>
    <t>Part of profitable co.</t>
  </si>
  <si>
    <t>TVS / Bajaj</t>
  </si>
  <si>
    <t>2030 Expansion Plan</t>
  </si>
  <si>
    <t>IPO + Scale to 20L</t>
  </si>
  <si>
    <t>Scale to 50L+</t>
  </si>
  <si>
    <t>Aggressive EV push</t>
  </si>
  <si>
    <t>New platform</t>
  </si>
  <si>
    <t>Leverage Hero network</t>
  </si>
  <si>
    <t>Uncertain</t>
  </si>
  <si>
    <t>Ola / Ather</t>
  </si>
  <si>
    <t>Biggest Strength</t>
  </si>
  <si>
    <t>Tech &amp; Software</t>
  </si>
  <si>
    <t>Price + Volume</t>
  </si>
  <si>
    <t>Brand trust</t>
  </si>
  <si>
    <t>Distribution</t>
  </si>
  <si>
    <t>Affordability</t>
  </si>
  <si>
    <t>Biggest Weakness</t>
  </si>
  <si>
    <t>Price, Scale</t>
  </si>
  <si>
    <t>Quality concerns</t>
  </si>
  <si>
    <t>Software lag</t>
  </si>
  <si>
    <t>Range, charging</t>
  </si>
  <si>
    <t>Slow EV ramp</t>
  </si>
  <si>
    <t>Service</t>
  </si>
  <si>
    <t>Overall 2030 Threat to Ather</t>
  </si>
  <si>
    <t>🔴 VERY HIGH</t>
  </si>
  <si>
    <t>🟠 HIGH</t>
  </si>
  <si>
    <t>🟡 MEDIUM</t>
  </si>
  <si>
    <t>🟢 LOW</t>
  </si>
  <si>
    <t>COMPETITIVE SCORING (1–10 scale)</t>
  </si>
  <si>
    <t>Criteria (Weight)</t>
  </si>
  <si>
    <t>Ather</t>
  </si>
  <si>
    <t>Ola</t>
  </si>
  <si>
    <t>TVS</t>
  </si>
  <si>
    <t>Bajaj</t>
  </si>
  <si>
    <t>Bounce</t>
  </si>
  <si>
    <t>Product Quality (15%)</t>
  </si>
  <si>
    <t>Technology / Software (20%)</t>
  </si>
  <si>
    <t>Price Competitiveness (20%)</t>
  </si>
  <si>
    <t>Distribution / Service (15%)</t>
  </si>
  <si>
    <t>Charging Infrastructure (10%)</t>
  </si>
  <si>
    <t>Brand Perception (10%)</t>
  </si>
  <si>
    <t>Financial Strength (10%)</t>
  </si>
  <si>
    <t>WEIGHTED TOTAL SCORE</t>
  </si>
  <si>
    <t>ATHER ENERGY – FINANCIAL PROJECTION MODEL (2024–2030)</t>
  </si>
  <si>
    <t>ASSUMPTIONS (Blue = Input)</t>
  </si>
  <si>
    <t>Assumption</t>
  </si>
  <si>
    <t>Total India EV 2W Market 2030 (L units)</t>
  </si>
  <si>
    <t>Conservative estimate; could be 120L+</t>
  </si>
  <si>
    <t>Ather ASP – Bull Case (₹)</t>
  </si>
  <si>
    <t>Premium + Rizta mix; price inflation adjusted</t>
  </si>
  <si>
    <t>Ather ASP – Base Case (₹)</t>
  </si>
  <si>
    <t>Blended ASP across portfolio</t>
  </si>
  <si>
    <t>Ather ASP – Bear Case (₹)</t>
  </si>
  <si>
    <t>Pricing pressure from competition</t>
  </si>
  <si>
    <t>Gross Margin Target 2030 (%)</t>
  </si>
  <si>
    <t>Currently ~10%; path to 22% with scale</t>
  </si>
  <si>
    <t>EBITDA Margin Target 2030 (%)</t>
  </si>
  <si>
    <t>Post fixed cost leverage at scale</t>
  </si>
  <si>
    <t>CapEx for Capacity Expansion (₹ Cr)</t>
  </si>
  <si>
    <t>New plant + tooling for 20L capacity</t>
  </si>
  <si>
    <t>REVENUE &amp; VOLUME PROJECTIONS</t>
  </si>
  <si>
    <t>Metric</t>
  </si>
  <si>
    <t>2024A</t>
  </si>
  <si>
    <t>2025E</t>
  </si>
  <si>
    <t>2026E</t>
  </si>
  <si>
    <t>2027E</t>
  </si>
  <si>
    <t>2028E</t>
  </si>
  <si>
    <t>2029E</t>
  </si>
  <si>
    <t>2030E</t>
  </si>
  <si>
    <t>CAGR</t>
  </si>
  <si>
    <t>2030 vs 2024</t>
  </si>
  <si>
    <t>🐂 BULL CASE</t>
  </si>
  <si>
    <t>Ather Market Share %</t>
  </si>
  <si>
    <t>18%</t>
  </si>
  <si>
    <t>20%</t>
  </si>
  <si>
    <t>24%</t>
  </si>
  <si>
    <t>26%</t>
  </si>
  <si>
    <t>Ather Units Sold (L)</t>
  </si>
  <si>
    <t>Revenue – Bull (₹ Cr)</t>
  </si>
  <si>
    <t>📊 BASE CASE</t>
  </si>
  <si>
    <t>12%</t>
  </si>
  <si>
    <t>14%</t>
  </si>
  <si>
    <t>16%</t>
  </si>
  <si>
    <t>25%</t>
  </si>
  <si>
    <t>Revenue – Base (₹ Cr)</t>
  </si>
  <si>
    <t>🐻 BEAR CASE</t>
  </si>
  <si>
    <t>11%</t>
  </si>
  <si>
    <t>10%</t>
  </si>
  <si>
    <t>Revenue – Bear (₹ Cr)</t>
  </si>
  <si>
    <t>ATHER ENERGY – SWOT ANALYSIS</t>
  </si>
  <si>
    <t>💪 STRENGTHS</t>
  </si>
  <si>
    <t>⚠️ WEAKNESSES</t>
  </si>
  <si>
    <t>S1</t>
  </si>
  <si>
    <t>Best-in-class connected vehicle technology (AtherStack OS, OTA updates)</t>
  </si>
  <si>
    <t>W1</t>
  </si>
  <si>
    <t>Still loss-making; yet to demonstrate path to profitability at scale</t>
  </si>
  <si>
    <t>S2</t>
  </si>
  <si>
    <t>AtherGrid – largest dedicated EV 2W fast-charging network in India (2,000+ pts)</t>
  </si>
  <si>
    <t>W2</t>
  </si>
  <si>
    <t>Limited distribution vs legacy OEMs (Hero: 5,000+ dealers vs Ather: 600+ cities)</t>
  </si>
  <si>
    <t>S3</t>
  </si>
  <si>
    <t>Premium brand perception – aspirational, youth-oriented, tech-first identity</t>
  </si>
  <si>
    <t>W3</t>
  </si>
  <si>
    <t>Manufacturing capacity constrained vs Ola (10L vs 4.2L/yr)</t>
  </si>
  <si>
    <t>S4</t>
  </si>
  <si>
    <t>First-mover advantage in intelligent scooters; data moat from 200K+ fleet</t>
  </si>
  <si>
    <t>W4</t>
  </si>
  <si>
    <t>Premium pricing limits addressable market; Rizta is new and unproven</t>
  </si>
  <si>
    <t>S5</t>
  </si>
  <si>
    <t>Hero MotoCorp partnership – manufacturing scale, distribution, credibility</t>
  </si>
  <si>
    <t>W5</t>
  </si>
  <si>
    <t>Heavy dependence on Hero MotoCorp – strategic independence risk</t>
  </si>
  <si>
    <t>S6</t>
  </si>
  <si>
    <t>IIT-Madras DNA – strong engineering talent; culture of innovation</t>
  </si>
  <si>
    <t>W6</t>
  </si>
  <si>
    <t>Limited international presence – no export revenue diversification</t>
  </si>
  <si>
    <t>🌱 OPPORTUNITIES</t>
  </si>
  <si>
    <t>🔴 THREATS</t>
  </si>
  <si>
    <t>O1</t>
  </si>
  <si>
    <t>India EV 2W market to grow 10x by 2030 – massive tailwind</t>
  </si>
  <si>
    <t>T1</t>
  </si>
  <si>
    <t>Ola Electric's aggressive pricing (₹79,999 entry) + 10L capacity threatens volume</t>
  </si>
  <si>
    <t>O2</t>
  </si>
  <si>
    <t>FAME-III subsidies and PLI scheme support domestic manufacturing</t>
  </si>
  <si>
    <t>T2</t>
  </si>
  <si>
    <t>TVS, Bajaj, Hero Vida – legacy OEMs with distribution moats entering hard</t>
  </si>
  <si>
    <t>O3</t>
  </si>
  <si>
    <t>Tier-2/3 city penetration largely untapped – Rizta is the vehicle</t>
  </si>
  <si>
    <t>T3</t>
  </si>
  <si>
    <t>Chinese EV manufacturers potentially entering India post tariff changes</t>
  </si>
  <si>
    <t>O4</t>
  </si>
  <si>
    <t>Export markets: ASEAN, Middle East, Africa – $5B+ opportunity</t>
  </si>
  <si>
    <t>T4</t>
  </si>
  <si>
    <t>Battery cost volatility – lithium prices can compress already thin margins</t>
  </si>
  <si>
    <t>O5</t>
  </si>
  <si>
    <t>B2B fleet / last-mile delivery segment – Swiggy, Zomato, Amazon</t>
  </si>
  <si>
    <t>T5</t>
  </si>
  <si>
    <t>Policy uncertainty – FAME subsidy changes can significantly hit demand</t>
  </si>
  <si>
    <t>O6</t>
  </si>
  <si>
    <t>IPO capital can fund massive geographic and product expansion</t>
  </si>
  <si>
    <t>T6</t>
  </si>
  <si>
    <t>Quality/recall risk – any major safety issue can devastate brand trust</t>
  </si>
  <si>
    <t>FINAL VERDICT: CAN ATHER BECOME THE LEADING EV BY 2030?</t>
  </si>
  <si>
    <t>VERDICT: ATHER CAN REACH TOP-2, BUT OUTRIGHT #1 IS UNCERTAIN</t>
  </si>
  <si>
    <t>SCENARIO PROBABILITY ASSESSMENT</t>
  </si>
  <si>
    <t>Scenario</t>
  </si>
  <si>
    <t>Key Conditions</t>
  </si>
  <si>
    <t>🏆 Ather #1 (&gt;30% share)</t>
  </si>
  <si>
    <t>15%</t>
  </si>
  <si>
    <t>Requires Ola to stumble + massive CapEx + flawless execution</t>
  </si>
  <si>
    <t>🥈 Ather Top-2 (20–30% share)</t>
  </si>
  <si>
    <t>Realistic with IPO capital, Rizta success, continued tech lead</t>
  </si>
  <si>
    <t>🥉 Ather Top-3 (12–20% share)</t>
  </si>
  <si>
    <t>Most likely; strong niche player but not category leader</t>
  </si>
  <si>
    <t>📉 Ather loses ground (&lt;12%)</t>
  </si>
  <si>
    <t>If pricing war intensifies and distribution gap isn't closed</t>
  </si>
  <si>
    <t>STRATEGIC IMPERATIVES FOR ATHER TO WIN BY 2030</t>
  </si>
  <si>
    <t>#</t>
  </si>
  <si>
    <t>Initiative</t>
  </si>
  <si>
    <t>Strategic Recommendation</t>
  </si>
  <si>
    <t>1</t>
  </si>
  <si>
    <t>Aggressive Capacity Scale-Up</t>
  </si>
  <si>
    <t>Must reach 15–20 Lakh/year capacity by 2028. Use IPO proceeds + Hero's network for a 2nd plant in North India.</t>
  </si>
  <si>
    <t>2</t>
  </si>
  <si>
    <t>Win the Mass Market with Rizta</t>
  </si>
  <si>
    <t>Rizta (sub-₹1L) is the volume play. Price it sharp, distribute through Hero's 5,000+ dealer network. Volume = survival.</t>
  </si>
  <si>
    <t>3</t>
  </si>
  <si>
    <t>Double AtherGrid to 5,000+ Points</t>
  </si>
  <si>
    <t>Charging infra is Ather's moat. Competitors can copy hardware; they can't copy a 5,000-point fast charging network.</t>
  </si>
  <si>
    <t>4</t>
  </si>
  <si>
    <t>Expand to Tier-2/3 Cities Urgently</t>
  </si>
  <si>
    <t>60% of India's 2W buyers are outside top-10 cities. Ather is urban-centric today – this must change by 2026.</t>
  </si>
  <si>
    <t>5</t>
  </si>
  <si>
    <t>Explore B2B / Fleet Segment</t>
  </si>
  <si>
    <t>Partner with Zomato, Swiggy, BigBasket for dedicated fleet contracts – guaranteed volume, brand visibility, data.</t>
  </si>
  <si>
    <t>6</t>
  </si>
  <si>
    <t>International Expansion</t>
  </si>
  <si>
    <t>ASEAN &amp; Middle East EV markets are nascent. Early mover = brand premium. Export revenues reduce India-market dependency.</t>
  </si>
  <si>
    <t>7</t>
  </si>
  <si>
    <t>Defend Tech Lead Aggressively</t>
  </si>
  <si>
    <t>AtherOS must stay 2 generations ahead. Hire aggressively from Tesla, FAANG. File 50+ patents/year on software &amp; BMS.</t>
  </si>
  <si>
    <t>📌  BOTTOM LINE: Ather Energy has the technology, the brand, and the backing to be a defining player in India's EV revolution. The question isn't whether it can be relevant — it clearly can. The question is whether it can out-execute Ola on price, TVS/Hero on distribution, and legacy OEMs on brand trust — all simultaneously. That is a very hard triple challenge. Our base case: Ather ends 2030 as a strong Top-2 player with 20–25% market share, widely regarded as the 'Apple of Indian EVs' — premium, profitable, and beloved — but not necessarily #1 by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</si>
</sst>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F4E79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sz val="10"/>
      <color rgb="FFFFFFFF"/>
      <name val="Arial"/>
      <charset val="1"/>
    </font>
    <font>
      <b/>
      <sz val="13"/>
      <color rgb="FF1F4E79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b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6"/>
      <color rgb="FF1F4E79"/>
      <name val="Arial"/>
      <charset val="1"/>
    </font>
    <font>
      <b/>
      <i/>
      <sz val="11"/>
      <color rgb="FF2E75B6"/>
      <name val="Arial"/>
      <charset val="1"/>
    </font>
    <font>
      <b/>
      <sz val="12"/>
      <color rgb="FF1F4E79"/>
      <name val="Arial"/>
      <charset val="1"/>
    </font>
    <font>
      <sz val="12"/>
      <color rgb="FF404040"/>
      <name val="Arial"/>
      <charset val="1"/>
    </font>
    <font>
      <sz val="12"/>
      <color theme="1"/>
      <name val="Calibri"/>
      <family val="2"/>
      <charset val="1"/>
    </font>
    <font>
      <sz val="12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b/>
      <sz val="12"/>
      <color rgb="FF595959"/>
      <name val="Arial"/>
      <charset val="1"/>
    </font>
    <font>
      <b/>
      <sz val="12"/>
      <color rgb="FFC00000"/>
      <name val="Arial"/>
      <charset val="1"/>
    </font>
    <font>
      <b/>
      <sz val="12"/>
      <color rgb="FF2E75B6"/>
      <name val="Arial"/>
      <charset val="1"/>
    </font>
    <font>
      <b/>
      <sz val="12"/>
      <name val="Arial"/>
      <charset val="1"/>
    </font>
    <font>
      <b/>
      <sz val="12"/>
      <color rgb="FF0000FF"/>
      <name val="Arial"/>
      <charset val="1"/>
    </font>
    <font>
      <i/>
      <sz val="12"/>
      <color rgb="FF595959"/>
      <name val="Arial"/>
      <charset val="1"/>
    </font>
    <font>
      <b/>
      <sz val="12"/>
      <color rgb="FF375623"/>
      <name val="Arial"/>
      <charset val="1"/>
    </font>
    <font>
      <b/>
      <sz val="12"/>
      <color rgb="FF7F6000"/>
      <name val="Arial"/>
      <charset val="1"/>
    </font>
    <font>
      <b/>
      <sz val="14"/>
      <color theme="1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BDD7EE"/>
        <bgColor rgb="FFD6E4F0"/>
      </patternFill>
    </fill>
    <fill>
      <patternFill patternType="solid">
        <fgColor rgb="FFE2EFDA"/>
        <bgColor rgb="FFEBF3FB"/>
      </patternFill>
    </fill>
    <fill>
      <patternFill patternType="solid">
        <fgColor rgb="FFC6EFCE"/>
        <bgColor rgb="FFE2EFDA"/>
      </patternFill>
    </fill>
    <fill>
      <patternFill patternType="solid">
        <fgColor rgb="FFFFCCCC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375623"/>
        <bgColor rgb="FF404040"/>
      </patternFill>
    </fill>
    <fill>
      <patternFill patternType="solid">
        <fgColor rgb="FF7F6000"/>
        <bgColor rgb="FF595959"/>
      </patternFill>
    </fill>
    <fill>
      <patternFill patternType="solid">
        <fgColor rgb="FFFFEB9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theme="3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/>
      <diagonal/>
    </border>
    <border>
      <left style="thin">
        <color rgb="FFBFBFBF"/>
      </left>
      <right style="thin">
        <color rgb="FFBFBFBF"/>
      </right>
      <top style="medium">
        <color rgb="FF000000"/>
      </top>
      <bottom/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medium">
        <color rgb="FF000000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0" fillId="0" borderId="0" xfId="0" applyAlignment="1"/>
    <xf numFmtId="0" fontId="10" fillId="4" borderId="2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/>
    <xf numFmtId="0" fontId="14" fillId="3" borderId="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/>
    </xf>
    <xf numFmtId="0" fontId="15" fillId="3" borderId="30" xfId="0" applyFont="1" applyFill="1" applyBorder="1" applyAlignment="1">
      <alignment horizontal="center"/>
    </xf>
    <xf numFmtId="0" fontId="15" fillId="3" borderId="31" xfId="0" applyFont="1" applyFill="1" applyBorder="1" applyAlignment="1">
      <alignment horizontal="center"/>
    </xf>
    <xf numFmtId="0" fontId="10" fillId="4" borderId="29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2" borderId="44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3" fillId="4" borderId="49" xfId="0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left" vertical="center"/>
    </xf>
    <xf numFmtId="0" fontId="17" fillId="5" borderId="8" xfId="0" applyFont="1" applyFill="1" applyBorder="1" applyAlignment="1">
      <alignment horizontal="left" vertical="center"/>
    </xf>
    <xf numFmtId="0" fontId="16" fillId="6" borderId="10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left" vertical="center"/>
    </xf>
    <xf numFmtId="0" fontId="16" fillId="5" borderId="10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left" vertical="center"/>
    </xf>
    <xf numFmtId="0" fontId="16" fillId="6" borderId="12" xfId="0" applyFont="1" applyFill="1" applyBorder="1" applyAlignment="1">
      <alignment horizontal="left" vertical="center"/>
    </xf>
    <xf numFmtId="0" fontId="17" fillId="6" borderId="13" xfId="0" applyFont="1" applyFill="1" applyBorder="1" applyAlignment="1">
      <alignment horizontal="left" vertical="center"/>
    </xf>
    <xf numFmtId="0" fontId="18" fillId="0" borderId="0" xfId="0" applyFont="1"/>
    <xf numFmtId="0" fontId="19" fillId="5" borderId="8" xfId="0" applyFont="1" applyFill="1" applyBorder="1" applyAlignment="1">
      <alignment horizontal="left" vertical="center"/>
    </xf>
    <xf numFmtId="0" fontId="19" fillId="6" borderId="3" xfId="0" applyFont="1" applyFill="1" applyBorder="1" applyAlignment="1">
      <alignment horizontal="left" vertical="center"/>
    </xf>
    <xf numFmtId="0" fontId="19" fillId="6" borderId="11" xfId="0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center"/>
    </xf>
    <xf numFmtId="0" fontId="19" fillId="5" borderId="11" xfId="0" applyFont="1" applyFill="1" applyBorder="1" applyAlignment="1">
      <alignment horizontal="left" vertical="center"/>
    </xf>
    <xf numFmtId="0" fontId="19" fillId="6" borderId="25" xfId="0" applyFont="1" applyFill="1" applyBorder="1" applyAlignment="1">
      <alignment horizontal="left" vertical="center"/>
    </xf>
    <xf numFmtId="0" fontId="19" fillId="5" borderId="3" xfId="0" applyFont="1" applyFill="1" applyBorder="1" applyAlignment="1">
      <alignment horizontal="left" vertical="center"/>
    </xf>
    <xf numFmtId="0" fontId="19" fillId="5" borderId="5" xfId="0" applyFont="1" applyFill="1" applyBorder="1" applyAlignment="1">
      <alignment horizontal="left" vertical="center"/>
    </xf>
    <xf numFmtId="0" fontId="19" fillId="5" borderId="52" xfId="0" applyFont="1" applyFill="1" applyBorder="1" applyAlignment="1">
      <alignment horizontal="left" vertical="center"/>
    </xf>
    <xf numFmtId="0" fontId="19" fillId="6" borderId="3" xfId="0" applyFont="1" applyFill="1" applyBorder="1" applyAlignment="1">
      <alignment horizontal="left" vertical="center"/>
    </xf>
    <xf numFmtId="0" fontId="19" fillId="6" borderId="5" xfId="0" applyFont="1" applyFill="1" applyBorder="1" applyAlignment="1">
      <alignment horizontal="left" vertical="center"/>
    </xf>
    <xf numFmtId="0" fontId="19" fillId="6" borderId="54" xfId="0" applyFont="1" applyFill="1" applyBorder="1" applyAlignment="1">
      <alignment horizontal="left" vertical="center"/>
    </xf>
    <xf numFmtId="0" fontId="16" fillId="5" borderId="12" xfId="0" applyFont="1" applyFill="1" applyBorder="1" applyAlignment="1">
      <alignment horizontal="left" vertical="center"/>
    </xf>
    <xf numFmtId="0" fontId="19" fillId="5" borderId="13" xfId="0" applyFont="1" applyFill="1" applyBorder="1" applyAlignment="1">
      <alignment horizontal="left" vertical="center"/>
    </xf>
    <xf numFmtId="0" fontId="19" fillId="5" borderId="51" xfId="0" applyFont="1" applyFill="1" applyBorder="1" applyAlignment="1">
      <alignment horizontal="left" vertical="center"/>
    </xf>
    <xf numFmtId="0" fontId="19" fillId="5" borderId="53" xfId="0" applyFont="1" applyFill="1" applyBorder="1" applyAlignment="1">
      <alignment horizontal="left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left" vertical="center" wrapText="1"/>
    </xf>
    <xf numFmtId="0" fontId="20" fillId="5" borderId="8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left" vertical="center" wrapText="1"/>
    </xf>
    <xf numFmtId="0" fontId="20" fillId="6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left" vertical="center" wrapText="1"/>
    </xf>
    <xf numFmtId="0" fontId="20" fillId="5" borderId="3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left" vertical="center"/>
    </xf>
    <xf numFmtId="0" fontId="22" fillId="5" borderId="10" xfId="0" applyFont="1" applyFill="1" applyBorder="1" applyAlignment="1">
      <alignment horizontal="left" vertical="center"/>
    </xf>
    <xf numFmtId="0" fontId="23" fillId="6" borderId="10" xfId="0" applyFont="1" applyFill="1" applyBorder="1" applyAlignment="1">
      <alignment horizontal="left" vertical="center"/>
    </xf>
    <xf numFmtId="0" fontId="23" fillId="5" borderId="10" xfId="0" applyFont="1" applyFill="1" applyBorder="1" applyAlignment="1">
      <alignment horizontal="left" vertical="center"/>
    </xf>
    <xf numFmtId="0" fontId="22" fillId="6" borderId="12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horizontal="left" vertical="center" wrapText="1"/>
    </xf>
    <xf numFmtId="0" fontId="20" fillId="6" borderId="13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/>
    </xf>
    <xf numFmtId="164" fontId="19" fillId="5" borderId="3" xfId="0" applyNumberFormat="1" applyFont="1" applyFill="1" applyBorder="1" applyAlignment="1">
      <alignment horizontal="center"/>
    </xf>
    <xf numFmtId="4" fontId="19" fillId="5" borderId="3" xfId="0" applyNumberFormat="1" applyFont="1" applyFill="1" applyBorder="1" applyAlignment="1">
      <alignment horizontal="center"/>
    </xf>
    <xf numFmtId="165" fontId="19" fillId="5" borderId="3" xfId="0" applyNumberFormat="1" applyFont="1" applyFill="1" applyBorder="1" applyAlignment="1">
      <alignment horizontal="center"/>
    </xf>
    <xf numFmtId="0" fontId="19" fillId="5" borderId="3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/>
    </xf>
    <xf numFmtId="0" fontId="19" fillId="6" borderId="10" xfId="0" applyFont="1" applyFill="1" applyBorder="1" applyAlignment="1">
      <alignment horizontal="center"/>
    </xf>
    <xf numFmtId="164" fontId="19" fillId="6" borderId="3" xfId="0" applyNumberFormat="1" applyFont="1" applyFill="1" applyBorder="1" applyAlignment="1">
      <alignment horizontal="center"/>
    </xf>
    <xf numFmtId="4" fontId="19" fillId="6" borderId="3" xfId="0" applyNumberFormat="1" applyFont="1" applyFill="1" applyBorder="1" applyAlignment="1">
      <alignment horizontal="center"/>
    </xf>
    <xf numFmtId="165" fontId="19" fillId="6" borderId="3" xfId="0" applyNumberFormat="1" applyFont="1" applyFill="1" applyBorder="1" applyAlignment="1">
      <alignment horizontal="center"/>
    </xf>
    <xf numFmtId="0" fontId="19" fillId="6" borderId="3" xfId="0" applyFont="1" applyFill="1" applyBorder="1" applyAlignment="1">
      <alignment horizontal="center"/>
    </xf>
    <xf numFmtId="0" fontId="19" fillId="6" borderId="11" xfId="0" applyFont="1" applyFill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164" fontId="19" fillId="5" borderId="13" xfId="0" applyNumberFormat="1" applyFont="1" applyFill="1" applyBorder="1" applyAlignment="1">
      <alignment horizontal="center"/>
    </xf>
    <xf numFmtId="4" fontId="19" fillId="5" borderId="13" xfId="0" applyNumberFormat="1" applyFont="1" applyFill="1" applyBorder="1" applyAlignment="1">
      <alignment horizontal="center"/>
    </xf>
    <xf numFmtId="165" fontId="19" fillId="5" borderId="13" xfId="0" applyNumberFormat="1" applyFont="1" applyFill="1" applyBorder="1" applyAlignment="1">
      <alignment horizontal="center"/>
    </xf>
    <xf numFmtId="0" fontId="19" fillId="5" borderId="13" xfId="0" applyFont="1" applyFill="1" applyBorder="1" applyAlignment="1">
      <alignment horizontal="center"/>
    </xf>
    <xf numFmtId="0" fontId="19" fillId="5" borderId="14" xfId="0" applyFont="1" applyFill="1" applyBorder="1" applyAlignment="1">
      <alignment horizontal="center"/>
    </xf>
    <xf numFmtId="0" fontId="16" fillId="7" borderId="24" xfId="0" applyFont="1" applyFill="1" applyBorder="1" applyAlignment="1">
      <alignment horizontal="center" vertical="center"/>
    </xf>
    <xf numFmtId="0" fontId="24" fillId="5" borderId="3" xfId="0" applyFont="1" applyFill="1" applyBorder="1" applyAlignment="1"/>
    <xf numFmtId="0" fontId="24" fillId="6" borderId="3" xfId="0" applyFont="1" applyFill="1" applyBorder="1" applyAlignment="1"/>
    <xf numFmtId="0" fontId="24" fillId="6" borderId="13" xfId="0" applyFont="1" applyFill="1" applyBorder="1" applyAlignment="1"/>
    <xf numFmtId="0" fontId="19" fillId="6" borderId="13" xfId="0" applyFont="1" applyFill="1" applyBorder="1" applyAlignment="1">
      <alignment horizontal="left" vertical="center"/>
    </xf>
    <xf numFmtId="0" fontId="19" fillId="6" borderId="14" xfId="0" applyFont="1" applyFill="1" applyBorder="1" applyAlignment="1">
      <alignment horizontal="left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left" vertical="center"/>
    </xf>
    <xf numFmtId="0" fontId="25" fillId="6" borderId="10" xfId="0" applyFont="1" applyFill="1" applyBorder="1" applyAlignment="1">
      <alignment horizontal="left" vertical="center"/>
    </xf>
    <xf numFmtId="0" fontId="25" fillId="6" borderId="12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horizontal="left" vertical="center"/>
    </xf>
    <xf numFmtId="0" fontId="16" fillId="7" borderId="55" xfId="0" applyFont="1" applyFill="1" applyBorder="1" applyAlignment="1">
      <alignment horizontal="center" vertical="center"/>
    </xf>
    <xf numFmtId="0" fontId="16" fillId="5" borderId="56" xfId="0" applyFont="1" applyFill="1" applyBorder="1" applyAlignment="1">
      <alignment horizontal="left" vertical="center"/>
    </xf>
    <xf numFmtId="0" fontId="16" fillId="6" borderId="56" xfId="0" applyFont="1" applyFill="1" applyBorder="1" applyAlignment="1">
      <alignment horizontal="left" vertical="center"/>
    </xf>
    <xf numFmtId="0" fontId="16" fillId="6" borderId="57" xfId="0" applyFont="1" applyFill="1" applyBorder="1" applyAlignment="1">
      <alignment horizontal="left" vertical="center"/>
    </xf>
    <xf numFmtId="0" fontId="18" fillId="16" borderId="0" xfId="0" applyFont="1" applyFill="1" applyBorder="1" applyAlignment="1"/>
    <xf numFmtId="0" fontId="18" fillId="16" borderId="58" xfId="0" applyFont="1" applyFill="1" applyBorder="1" applyAlignment="1"/>
    <xf numFmtId="0" fontId="16" fillId="7" borderId="59" xfId="0" applyFont="1" applyFill="1" applyBorder="1" applyAlignment="1">
      <alignment horizontal="center" vertical="center"/>
    </xf>
    <xf numFmtId="0" fontId="16" fillId="7" borderId="60" xfId="0" applyFont="1" applyFill="1" applyBorder="1" applyAlignment="1">
      <alignment horizontal="center" vertical="center"/>
    </xf>
    <xf numFmtId="0" fontId="16" fillId="7" borderId="61" xfId="0" applyFont="1" applyFill="1" applyBorder="1" applyAlignment="1">
      <alignment horizontal="center" vertical="center"/>
    </xf>
    <xf numFmtId="0" fontId="10" fillId="4" borderId="62" xfId="0" applyFont="1" applyFill="1" applyBorder="1" applyAlignment="1">
      <alignment horizontal="center" vertical="center"/>
    </xf>
    <xf numFmtId="0" fontId="10" fillId="4" borderId="63" xfId="0" applyFont="1" applyFill="1" applyBorder="1" applyAlignment="1">
      <alignment horizontal="center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35" xfId="0" applyFont="1" applyFill="1" applyBorder="1" applyAlignment="1">
      <alignment horizontal="left" vertical="center"/>
    </xf>
    <xf numFmtId="0" fontId="16" fillId="7" borderId="7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left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19" fillId="5" borderId="11" xfId="0" applyFont="1" applyFill="1" applyBorder="1" applyAlignment="1">
      <alignment horizontal="left" vertical="center" wrapText="1"/>
    </xf>
    <xf numFmtId="0" fontId="16" fillId="6" borderId="10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9" fillId="6" borderId="11" xfId="0" applyFont="1" applyFill="1" applyBorder="1" applyAlignment="1">
      <alignment horizontal="left" vertical="center" wrapText="1"/>
    </xf>
    <xf numFmtId="0" fontId="16" fillId="6" borderId="12" xfId="0" applyFont="1" applyFill="1" applyBorder="1" applyAlignment="1">
      <alignment horizontal="left" vertical="center" wrapText="1"/>
    </xf>
    <xf numFmtId="0" fontId="16" fillId="6" borderId="13" xfId="0" applyFont="1" applyFill="1" applyBorder="1" applyAlignment="1">
      <alignment horizontal="left" vertical="center" wrapText="1"/>
    </xf>
    <xf numFmtId="0" fontId="19" fillId="6" borderId="1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 wrapText="1"/>
    </xf>
    <xf numFmtId="0" fontId="25" fillId="8" borderId="3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center"/>
    </xf>
    <xf numFmtId="0" fontId="19" fillId="9" borderId="3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center"/>
    </xf>
    <xf numFmtId="0" fontId="19" fillId="10" borderId="3" xfId="0" applyFont="1" applyFill="1" applyBorder="1" applyAlignment="1">
      <alignment horizontal="center"/>
    </xf>
    <xf numFmtId="0" fontId="19" fillId="10" borderId="5" xfId="0" applyFont="1" applyFill="1" applyBorder="1" applyAlignment="1">
      <alignment horizontal="center"/>
    </xf>
    <xf numFmtId="0" fontId="19" fillId="8" borderId="3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2" fontId="2" fillId="4" borderId="3" xfId="0" applyNumberFormat="1" applyFont="1" applyFill="1" applyBorder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0" fontId="0" fillId="16" borderId="0" xfId="0" applyFill="1" applyBorder="1" applyAlignment="1"/>
    <xf numFmtId="0" fontId="0" fillId="16" borderId="64" xfId="0" applyFill="1" applyBorder="1" applyAlignment="1"/>
    <xf numFmtId="0" fontId="0" fillId="16" borderId="65" xfId="0" applyFill="1" applyBorder="1" applyAlignment="1"/>
    <xf numFmtId="0" fontId="0" fillId="16" borderId="66" xfId="0" applyFill="1" applyBorder="1" applyAlignment="1"/>
    <xf numFmtId="0" fontId="12" fillId="5" borderId="5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left" vertical="center"/>
    </xf>
    <xf numFmtId="0" fontId="19" fillId="6" borderId="5" xfId="0" applyFont="1" applyFill="1" applyBorder="1" applyAlignment="1">
      <alignment horizontal="left" vertical="center"/>
    </xf>
    <xf numFmtId="0" fontId="19" fillId="5" borderId="5" xfId="0" applyFont="1" applyFill="1" applyBorder="1" applyAlignment="1">
      <alignment horizontal="left" vertical="center"/>
    </xf>
    <xf numFmtId="0" fontId="19" fillId="5" borderId="54" xfId="0" applyFont="1" applyFill="1" applyBorder="1" applyAlignment="1">
      <alignment horizontal="left" vertical="center"/>
    </xf>
    <xf numFmtId="0" fontId="16" fillId="5" borderId="10" xfId="0" applyFont="1" applyFill="1" applyBorder="1" applyAlignment="1"/>
    <xf numFmtId="0" fontId="16" fillId="5" borderId="3" xfId="0" applyFont="1" applyFill="1" applyBorder="1" applyAlignment="1"/>
    <xf numFmtId="0" fontId="26" fillId="5" borderId="3" xfId="0" applyFont="1" applyFill="1" applyBorder="1" applyAlignment="1">
      <alignment horizontal="center"/>
    </xf>
    <xf numFmtId="0" fontId="27" fillId="5" borderId="3" xfId="0" applyFont="1" applyFill="1" applyBorder="1" applyAlignment="1">
      <alignment horizontal="left"/>
    </xf>
    <xf numFmtId="0" fontId="27" fillId="5" borderId="11" xfId="0" applyFont="1" applyFill="1" applyBorder="1" applyAlignment="1">
      <alignment horizontal="left"/>
    </xf>
    <xf numFmtId="0" fontId="16" fillId="6" borderId="10" xfId="0" applyFont="1" applyFill="1" applyBorder="1" applyAlignment="1"/>
    <xf numFmtId="0" fontId="16" fillId="6" borderId="3" xfId="0" applyFont="1" applyFill="1" applyBorder="1" applyAlignment="1"/>
    <xf numFmtId="3" fontId="26" fillId="6" borderId="3" xfId="0" applyNumberFormat="1" applyFont="1" applyFill="1" applyBorder="1" applyAlignment="1">
      <alignment horizontal="center"/>
    </xf>
    <xf numFmtId="0" fontId="27" fillId="6" borderId="3" xfId="0" applyFont="1" applyFill="1" applyBorder="1" applyAlignment="1">
      <alignment horizontal="left"/>
    </xf>
    <xf numFmtId="0" fontId="27" fillId="6" borderId="11" xfId="0" applyFont="1" applyFill="1" applyBorder="1" applyAlignment="1">
      <alignment horizontal="left"/>
    </xf>
    <xf numFmtId="3" fontId="26" fillId="5" borderId="3" xfId="0" applyNumberFormat="1" applyFont="1" applyFill="1" applyBorder="1" applyAlignment="1">
      <alignment horizontal="center"/>
    </xf>
    <xf numFmtId="9" fontId="26" fillId="5" borderId="3" xfId="0" applyNumberFormat="1" applyFont="1" applyFill="1" applyBorder="1" applyAlignment="1">
      <alignment horizontal="center"/>
    </xf>
    <xf numFmtId="9" fontId="26" fillId="6" borderId="3" xfId="0" applyNumberFormat="1" applyFont="1" applyFill="1" applyBorder="1" applyAlignment="1">
      <alignment horizontal="center"/>
    </xf>
    <xf numFmtId="0" fontId="16" fillId="5" borderId="12" xfId="0" applyFont="1" applyFill="1" applyBorder="1" applyAlignment="1"/>
    <xf numFmtId="0" fontId="16" fillId="5" borderId="13" xfId="0" applyFont="1" applyFill="1" applyBorder="1" applyAlignment="1"/>
    <xf numFmtId="0" fontId="26" fillId="5" borderId="13" xfId="0" applyFont="1" applyFill="1" applyBorder="1" applyAlignment="1">
      <alignment horizontal="center"/>
    </xf>
    <xf numFmtId="0" fontId="27" fillId="5" borderId="13" xfId="0" applyFont="1" applyFill="1" applyBorder="1" applyAlignment="1">
      <alignment horizontal="left"/>
    </xf>
    <xf numFmtId="0" fontId="27" fillId="5" borderId="14" xfId="0" applyFont="1" applyFill="1" applyBorder="1" applyAlignment="1">
      <alignment horizontal="left"/>
    </xf>
    <xf numFmtId="0" fontId="16" fillId="7" borderId="40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0" fontId="28" fillId="8" borderId="40" xfId="0" applyFont="1" applyFill="1" applyBorder="1" applyAlignment="1">
      <alignment horizontal="center" vertical="center"/>
    </xf>
    <xf numFmtId="0" fontId="28" fillId="8" borderId="41" xfId="0" applyFont="1" applyFill="1" applyBorder="1" applyAlignment="1">
      <alignment horizontal="center" vertical="center"/>
    </xf>
    <xf numFmtId="0" fontId="28" fillId="8" borderId="42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/>
    </xf>
    <xf numFmtId="0" fontId="19" fillId="8" borderId="8" xfId="0" applyFont="1" applyFill="1" applyBorder="1" applyAlignment="1">
      <alignment horizontal="center"/>
    </xf>
    <xf numFmtId="165" fontId="19" fillId="8" borderId="8" xfId="0" applyNumberFormat="1" applyFont="1" applyFill="1" applyBorder="1" applyAlignment="1">
      <alignment horizontal="center"/>
    </xf>
    <xf numFmtId="165" fontId="19" fillId="8" borderId="9" xfId="0" applyNumberFormat="1" applyFont="1" applyFill="1" applyBorder="1" applyAlignment="1">
      <alignment horizontal="center"/>
    </xf>
    <xf numFmtId="0" fontId="19" fillId="3" borderId="10" xfId="0" applyFont="1" applyFill="1" applyBorder="1" applyAlignment="1">
      <alignment horizontal="left"/>
    </xf>
    <xf numFmtId="165" fontId="19" fillId="8" borderId="3" xfId="0" applyNumberFormat="1" applyFont="1" applyFill="1" applyBorder="1" applyAlignment="1">
      <alignment horizontal="center"/>
    </xf>
    <xf numFmtId="165" fontId="19" fillId="8" borderId="11" xfId="0" applyNumberFormat="1" applyFont="1" applyFill="1" applyBorder="1" applyAlignment="1">
      <alignment horizontal="center"/>
    </xf>
    <xf numFmtId="0" fontId="19" fillId="3" borderId="12" xfId="0" applyFont="1" applyFill="1" applyBorder="1" applyAlignment="1">
      <alignment horizontal="left"/>
    </xf>
    <xf numFmtId="0" fontId="19" fillId="8" borderId="13" xfId="0" applyFont="1" applyFill="1" applyBorder="1" applyAlignment="1">
      <alignment horizontal="center"/>
    </xf>
    <xf numFmtId="165" fontId="19" fillId="8" borderId="13" xfId="0" applyNumberFormat="1" applyFont="1" applyFill="1" applyBorder="1" applyAlignment="1">
      <alignment horizontal="center"/>
    </xf>
    <xf numFmtId="165" fontId="19" fillId="8" borderId="14" xfId="0" applyNumberFormat="1" applyFont="1" applyFill="1" applyBorder="1" applyAlignment="1">
      <alignment horizontal="center"/>
    </xf>
    <xf numFmtId="0" fontId="18" fillId="0" borderId="43" xfId="0" applyFont="1" applyBorder="1" applyAlignment="1"/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/>
    </xf>
    <xf numFmtId="165" fontId="19" fillId="3" borderId="3" xfId="0" applyNumberFormat="1" applyFont="1" applyFill="1" applyBorder="1" applyAlignment="1">
      <alignment horizontal="center"/>
    </xf>
    <xf numFmtId="165" fontId="19" fillId="3" borderId="11" xfId="0" applyNumberFormat="1" applyFont="1" applyFill="1" applyBorder="1" applyAlignment="1">
      <alignment horizontal="center"/>
    </xf>
    <xf numFmtId="0" fontId="19" fillId="3" borderId="13" xfId="0" applyFont="1" applyFill="1" applyBorder="1" applyAlignment="1">
      <alignment horizontal="center"/>
    </xf>
    <xf numFmtId="165" fontId="19" fillId="3" borderId="13" xfId="0" applyNumberFormat="1" applyFont="1" applyFill="1" applyBorder="1" applyAlignment="1">
      <alignment horizontal="center"/>
    </xf>
    <xf numFmtId="165" fontId="19" fillId="3" borderId="14" xfId="0" applyNumberFormat="1" applyFont="1" applyFill="1" applyBorder="1" applyAlignment="1">
      <alignment horizontal="center"/>
    </xf>
    <xf numFmtId="0" fontId="23" fillId="11" borderId="7" xfId="0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23" fillId="11" borderId="9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/>
    </xf>
    <xf numFmtId="165" fontId="19" fillId="11" borderId="3" xfId="0" applyNumberFormat="1" applyFont="1" applyFill="1" applyBorder="1" applyAlignment="1">
      <alignment horizontal="center"/>
    </xf>
    <xf numFmtId="165" fontId="19" fillId="11" borderId="11" xfId="0" applyNumberFormat="1" applyFont="1" applyFill="1" applyBorder="1" applyAlignment="1">
      <alignment horizontal="center"/>
    </xf>
    <xf numFmtId="0" fontId="19" fillId="11" borderId="13" xfId="0" applyFont="1" applyFill="1" applyBorder="1" applyAlignment="1">
      <alignment horizontal="center"/>
    </xf>
    <xf numFmtId="165" fontId="19" fillId="11" borderId="13" xfId="0" applyNumberFormat="1" applyFont="1" applyFill="1" applyBorder="1" applyAlignment="1">
      <alignment horizontal="center"/>
    </xf>
    <xf numFmtId="165" fontId="19" fillId="11" borderId="14" xfId="0" applyNumberFormat="1" applyFont="1" applyFill="1" applyBorder="1" applyAlignment="1">
      <alignment horizontal="center"/>
    </xf>
    <xf numFmtId="0" fontId="19" fillId="8" borderId="2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29" fillId="14" borderId="18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left" vertical="center" wrapText="1"/>
    </xf>
    <xf numFmtId="0" fontId="19" fillId="14" borderId="19" xfId="0" applyFont="1" applyFill="1" applyBorder="1" applyAlignment="1">
      <alignment horizontal="left" vertical="center" wrapText="1"/>
    </xf>
    <xf numFmtId="0" fontId="19" fillId="8" borderId="21" xfId="0" applyFont="1" applyFill="1" applyBorder="1" applyAlignment="1">
      <alignment horizontal="left" vertical="center" wrapText="1"/>
    </xf>
    <xf numFmtId="0" fontId="19" fillId="8" borderId="45" xfId="0" applyFont="1" applyFill="1" applyBorder="1" applyAlignment="1">
      <alignment horizontal="left" vertical="center" wrapText="1"/>
    </xf>
    <xf numFmtId="0" fontId="29" fillId="14" borderId="20" xfId="0" applyFont="1" applyFill="1" applyBorder="1" applyAlignment="1">
      <alignment horizontal="center" vertical="center"/>
    </xf>
    <xf numFmtId="0" fontId="19" fillId="14" borderId="21" xfId="0" applyFont="1" applyFill="1" applyBorder="1" applyAlignment="1">
      <alignment horizontal="left" vertical="center" wrapText="1"/>
    </xf>
    <xf numFmtId="0" fontId="19" fillId="14" borderId="22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3" fillId="11" borderId="18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left" vertical="center" wrapText="1"/>
    </xf>
    <xf numFmtId="0" fontId="19" fillId="11" borderId="19" xfId="0" applyFont="1" applyFill="1" applyBorder="1" applyAlignment="1">
      <alignment horizontal="left" vertical="center" wrapText="1"/>
    </xf>
    <xf numFmtId="0" fontId="19" fillId="3" borderId="21" xfId="0" applyFont="1" applyFill="1" applyBorder="1" applyAlignment="1">
      <alignment horizontal="left" vertical="center" wrapText="1"/>
    </xf>
    <xf numFmtId="0" fontId="19" fillId="3" borderId="45" xfId="0" applyFont="1" applyFill="1" applyBorder="1" applyAlignment="1">
      <alignment horizontal="left" vertical="center" wrapText="1"/>
    </xf>
    <xf numFmtId="0" fontId="23" fillId="11" borderId="20" xfId="0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left" vertical="center" wrapText="1"/>
    </xf>
    <xf numFmtId="0" fontId="19" fillId="11" borderId="22" xfId="0" applyFont="1" applyFill="1" applyBorder="1" applyAlignment="1">
      <alignment horizontal="left" vertical="center" wrapText="1"/>
    </xf>
    <xf numFmtId="0" fontId="23" fillId="5" borderId="7" xfId="0" applyFont="1" applyFill="1" applyBorder="1" applyAlignment="1"/>
    <xf numFmtId="0" fontId="23" fillId="5" borderId="8" xfId="0" applyFont="1" applyFill="1" applyBorder="1" applyAlignment="1"/>
    <xf numFmtId="0" fontId="23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left" vertical="center" wrapText="1"/>
    </xf>
    <xf numFmtId="0" fontId="28" fillId="6" borderId="10" xfId="0" applyFont="1" applyFill="1" applyBorder="1" applyAlignment="1"/>
    <xf numFmtId="0" fontId="28" fillId="6" borderId="3" xfId="0" applyFont="1" applyFill="1" applyBorder="1" applyAlignment="1"/>
    <xf numFmtId="0" fontId="28" fillId="6" borderId="3" xfId="0" applyFont="1" applyFill="1" applyBorder="1" applyAlignment="1">
      <alignment horizontal="center" vertical="center"/>
    </xf>
    <xf numFmtId="0" fontId="24" fillId="5" borderId="10" xfId="0" applyFont="1" applyFill="1" applyBorder="1" applyAlignment="1"/>
    <xf numFmtId="0" fontId="24" fillId="5" borderId="3" xfId="0" applyFont="1" applyFill="1" applyBorder="1" applyAlignment="1">
      <alignment horizontal="center" vertical="center"/>
    </xf>
    <xf numFmtId="0" fontId="29" fillId="6" borderId="12" xfId="0" applyFont="1" applyFill="1" applyBorder="1" applyAlignment="1"/>
    <xf numFmtId="0" fontId="29" fillId="6" borderId="13" xfId="0" applyFont="1" applyFill="1" applyBorder="1" applyAlignment="1"/>
    <xf numFmtId="0" fontId="29" fillId="6" borderId="13" xfId="0" applyFont="1" applyFill="1" applyBorder="1" applyAlignment="1">
      <alignment horizontal="center" vertical="center"/>
    </xf>
    <xf numFmtId="0" fontId="16" fillId="5" borderId="33" xfId="0" applyFont="1" applyFill="1" applyBorder="1" applyAlignment="1"/>
    <xf numFmtId="0" fontId="16" fillId="5" borderId="8" xfId="0" applyFont="1" applyFill="1" applyBorder="1" applyAlignment="1"/>
    <xf numFmtId="0" fontId="16" fillId="6" borderId="23" xfId="0" applyFont="1" applyFill="1" applyBorder="1" applyAlignment="1"/>
    <xf numFmtId="0" fontId="16" fillId="5" borderId="23" xfId="0" applyFont="1" applyFill="1" applyBorder="1" applyAlignment="1"/>
    <xf numFmtId="0" fontId="16" fillId="5" borderId="28" xfId="0" applyFont="1" applyFill="1" applyBorder="1" applyAlignment="1"/>
    <xf numFmtId="0" fontId="19" fillId="5" borderId="13" xfId="0" applyFont="1" applyFill="1" applyBorder="1" applyAlignment="1">
      <alignment horizontal="left" vertical="center" wrapText="1"/>
    </xf>
    <xf numFmtId="0" fontId="19" fillId="5" borderId="14" xfId="0" applyFont="1" applyFill="1" applyBorder="1" applyAlignment="1">
      <alignment horizontal="left" vertical="center" wrapText="1"/>
    </xf>
    <xf numFmtId="0" fontId="14" fillId="3" borderId="67" xfId="0" applyFont="1" applyFill="1" applyBorder="1" applyAlignment="1">
      <alignment horizontal="center" vertical="center"/>
    </xf>
    <xf numFmtId="0" fontId="14" fillId="3" borderId="62" xfId="0" applyFont="1" applyFill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/>
    </xf>
    <xf numFmtId="0" fontId="14" fillId="3" borderId="68" xfId="0" applyFont="1" applyFill="1" applyBorder="1" applyAlignment="1">
      <alignment horizontal="center" vertical="center"/>
    </xf>
    <xf numFmtId="0" fontId="14" fillId="3" borderId="69" xfId="0" applyFont="1" applyFill="1" applyBorder="1" applyAlignment="1">
      <alignment horizontal="center" vertical="center"/>
    </xf>
    <xf numFmtId="0" fontId="14" fillId="3" borderId="70" xfId="0" applyFont="1" applyFill="1" applyBorder="1" applyAlignment="1">
      <alignment horizontal="center" vertical="center"/>
    </xf>
    <xf numFmtId="0" fontId="14" fillId="3" borderId="58" xfId="0" applyFont="1" applyFill="1" applyBorder="1" applyAlignment="1">
      <alignment horizontal="center" vertical="center"/>
    </xf>
    <xf numFmtId="0" fontId="14" fillId="3" borderId="71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30" fillId="3" borderId="15" xfId="0" applyFont="1" applyFill="1" applyBorder="1" applyAlignment="1">
      <alignment horizontal="left" vertical="center" wrapText="1"/>
    </xf>
    <xf numFmtId="0" fontId="30" fillId="3" borderId="16" xfId="0" applyFont="1" applyFill="1" applyBorder="1" applyAlignment="1">
      <alignment horizontal="left" vertical="center" wrapText="1"/>
    </xf>
    <xf numFmtId="0" fontId="30" fillId="3" borderId="17" xfId="0" applyFont="1" applyFill="1" applyBorder="1" applyAlignment="1">
      <alignment horizontal="left" vertical="center" wrapText="1"/>
    </xf>
    <xf numFmtId="0" fontId="30" fillId="3" borderId="18" xfId="0" applyFont="1" applyFill="1" applyBorder="1" applyAlignment="1">
      <alignment horizontal="left" vertical="center" wrapText="1"/>
    </xf>
    <xf numFmtId="0" fontId="30" fillId="3" borderId="2" xfId="0" applyFont="1" applyFill="1" applyBorder="1" applyAlignment="1">
      <alignment horizontal="left" vertical="center" wrapText="1"/>
    </xf>
    <xf numFmtId="0" fontId="30" fillId="3" borderId="19" xfId="0" applyFont="1" applyFill="1" applyBorder="1" applyAlignment="1">
      <alignment horizontal="left" vertical="center" wrapText="1"/>
    </xf>
    <xf numFmtId="0" fontId="30" fillId="3" borderId="20" xfId="0" applyFont="1" applyFill="1" applyBorder="1" applyAlignment="1">
      <alignment horizontal="left" vertical="center" wrapText="1"/>
    </xf>
    <xf numFmtId="0" fontId="30" fillId="3" borderId="21" xfId="0" applyFont="1" applyFill="1" applyBorder="1" applyAlignment="1">
      <alignment horizontal="left" vertical="center" wrapText="1"/>
    </xf>
    <xf numFmtId="0" fontId="30" fillId="3" borderId="22" xfId="0" applyFont="1" applyFill="1" applyBorder="1" applyAlignment="1">
      <alignment horizontal="left" vertical="center" wrapText="1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0" fillId="16" borderId="63" xfId="0" applyFill="1" applyBorder="1" applyAlignment="1"/>
    <xf numFmtId="0" fontId="8" fillId="3" borderId="34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E2EFDA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CE4D6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showGridLines="0" tabSelected="1" topLeftCell="A40" zoomScaleNormal="100" workbookViewId="0">
      <selection activeCell="G40" sqref="G40"/>
    </sheetView>
  </sheetViews>
  <sheetFormatPr defaultColWidth="8.7109375" defaultRowHeight="15"/>
  <cols>
    <col min="1" max="1" width="2" style="1" customWidth="1"/>
    <col min="2" max="2" width="25.85546875" style="1" customWidth="1"/>
    <col min="3" max="3" width="16" style="1" customWidth="1"/>
    <col min="4" max="4" width="31.28515625" style="1" customWidth="1"/>
    <col min="5" max="5" width="31.42578125" style="1" customWidth="1"/>
    <col min="6" max="6" width="19.85546875" style="1" customWidth="1"/>
    <col min="7" max="7" width="22.42578125" style="1" customWidth="1"/>
    <col min="8" max="8" width="21.42578125" style="1" customWidth="1"/>
    <col min="9" max="9" width="14" style="1" customWidth="1"/>
    <col min="10" max="10" width="18" style="1" customWidth="1"/>
    <col min="11" max="11" width="7.5703125" style="1" customWidth="1"/>
  </cols>
  <sheetData>
    <row r="1" spans="2:11" ht="9.75" customHeight="1"/>
    <row r="2" spans="2:11" ht="18" customHeight="1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</row>
    <row r="3" spans="2:11" ht="18" customHeight="1">
      <c r="B3" s="6"/>
      <c r="C3" s="6"/>
      <c r="D3" s="6"/>
      <c r="E3" s="6"/>
      <c r="F3" s="6"/>
      <c r="G3" s="6"/>
      <c r="H3" s="6"/>
      <c r="I3" s="6"/>
      <c r="J3" s="6"/>
      <c r="K3" s="6"/>
    </row>
    <row r="4" spans="2:11" ht="18" customHeight="1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ht="18" customHeight="1">
      <c r="B5" s="6"/>
      <c r="C5" s="6"/>
      <c r="D5" s="6"/>
      <c r="E5" s="6"/>
      <c r="F5" s="6"/>
      <c r="G5" s="6"/>
      <c r="H5" s="6"/>
      <c r="I5" s="6"/>
      <c r="J5" s="6"/>
      <c r="K5" s="6"/>
    </row>
    <row r="6" spans="2:11" ht="18" customHeight="1">
      <c r="B6" s="6"/>
      <c r="C6" s="6"/>
      <c r="D6" s="6"/>
      <c r="E6" s="6"/>
      <c r="F6" s="6"/>
      <c r="G6" s="6"/>
      <c r="H6" s="6"/>
      <c r="I6" s="6"/>
      <c r="J6" s="6"/>
      <c r="K6" s="6"/>
    </row>
    <row r="7" spans="2:11" ht="20.25" customHeight="1">
      <c r="B7" s="14" t="s">
        <v>1</v>
      </c>
      <c r="C7" s="15"/>
      <c r="D7" s="15"/>
      <c r="E7" s="15"/>
      <c r="F7" s="15"/>
      <c r="G7" s="15"/>
      <c r="H7" s="15"/>
      <c r="I7" s="15"/>
      <c r="J7" s="15"/>
      <c r="K7" s="16"/>
    </row>
    <row r="9" spans="2:11" ht="31.5" customHeight="1">
      <c r="B9" s="12" t="s">
        <v>2</v>
      </c>
      <c r="C9" s="12"/>
      <c r="D9" s="12"/>
      <c r="E9" s="12"/>
      <c r="F9" s="12"/>
      <c r="G9" s="12"/>
      <c r="H9" s="12"/>
      <c r="I9" s="12"/>
      <c r="J9" s="12"/>
      <c r="K9" s="12"/>
    </row>
    <row r="10" spans="2:11" ht="21.75" customHeight="1">
      <c r="B10" s="39" t="s">
        <v>3</v>
      </c>
      <c r="C10" s="40" t="s">
        <v>4</v>
      </c>
      <c r="D10" s="40"/>
      <c r="E10" s="40"/>
      <c r="F10" s="40"/>
      <c r="G10" s="40"/>
      <c r="H10" s="40"/>
      <c r="I10" s="40"/>
      <c r="J10" s="165" t="s">
        <v>5</v>
      </c>
      <c r="K10" s="161"/>
    </row>
    <row r="11" spans="2:11" ht="21.75" customHeight="1">
      <c r="B11" s="41" t="s">
        <v>6</v>
      </c>
      <c r="C11" s="42" t="s">
        <v>7</v>
      </c>
      <c r="D11" s="42"/>
      <c r="E11" s="42"/>
      <c r="F11" s="42"/>
      <c r="G11" s="42"/>
      <c r="H11" s="42"/>
      <c r="I11" s="42"/>
      <c r="J11" s="166" t="s">
        <v>8</v>
      </c>
      <c r="K11" s="162"/>
    </row>
    <row r="12" spans="2:11" ht="21.75" customHeight="1">
      <c r="B12" s="43" t="s">
        <v>9</v>
      </c>
      <c r="C12" s="44" t="s">
        <v>10</v>
      </c>
      <c r="D12" s="44"/>
      <c r="E12" s="44"/>
      <c r="F12" s="44"/>
      <c r="G12" s="44"/>
      <c r="H12" s="44"/>
      <c r="I12" s="44"/>
      <c r="J12" s="167" t="s">
        <v>11</v>
      </c>
      <c r="K12" s="162"/>
    </row>
    <row r="13" spans="2:11" ht="21.75" customHeight="1">
      <c r="B13" s="41" t="s">
        <v>12</v>
      </c>
      <c r="C13" s="42" t="s">
        <v>13</v>
      </c>
      <c r="D13" s="42"/>
      <c r="E13" s="42"/>
      <c r="F13" s="42"/>
      <c r="G13" s="42"/>
      <c r="H13" s="42"/>
      <c r="I13" s="42"/>
      <c r="J13" s="168" t="s">
        <v>14</v>
      </c>
      <c r="K13" s="162"/>
    </row>
    <row r="14" spans="2:11" ht="21.75" customHeight="1">
      <c r="B14" s="43" t="s">
        <v>15</v>
      </c>
      <c r="C14" s="44" t="s">
        <v>16</v>
      </c>
      <c r="D14" s="44"/>
      <c r="E14" s="44"/>
      <c r="F14" s="44"/>
      <c r="G14" s="44"/>
      <c r="H14" s="44"/>
      <c r="I14" s="44"/>
      <c r="J14" s="169" t="s">
        <v>17</v>
      </c>
      <c r="K14" s="162"/>
    </row>
    <row r="15" spans="2:11" ht="21.75" customHeight="1">
      <c r="B15" s="45" t="s">
        <v>18</v>
      </c>
      <c r="C15" s="46" t="s">
        <v>19</v>
      </c>
      <c r="D15" s="46"/>
      <c r="E15" s="46"/>
      <c r="F15" s="46"/>
      <c r="G15" s="46"/>
      <c r="H15" s="46"/>
      <c r="I15" s="46"/>
      <c r="J15" s="170" t="s">
        <v>20</v>
      </c>
      <c r="K15" s="163"/>
    </row>
    <row r="16" spans="2:11" ht="4.5" customHeight="1"/>
    <row r="17" spans="2:16" ht="37.5" customHeight="1"/>
    <row r="18" spans="2:16" ht="29.25" customHeight="1"/>
    <row r="19" spans="2:16" ht="15.75" customHeight="1"/>
    <row r="20" spans="2:16" ht="27.75" customHeight="1">
      <c r="B20" s="5" t="s">
        <v>21</v>
      </c>
      <c r="C20" s="5"/>
      <c r="D20" s="5"/>
      <c r="E20" s="5"/>
      <c r="F20" s="5"/>
      <c r="G20" s="5"/>
      <c r="H20" s="5"/>
      <c r="I20" s="5"/>
      <c r="J20" s="5"/>
      <c r="K20" s="5"/>
      <c r="P20" s="47"/>
    </row>
    <row r="21" spans="2:16" ht="27" customHeight="1">
      <c r="B21" s="286" t="s">
        <v>22</v>
      </c>
      <c r="C21" s="287" t="s">
        <v>23</v>
      </c>
      <c r="D21" s="287" t="s">
        <v>24</v>
      </c>
      <c r="E21" s="287" t="s">
        <v>25</v>
      </c>
      <c r="F21" s="287" t="s">
        <v>26</v>
      </c>
      <c r="G21" s="287" t="s">
        <v>27</v>
      </c>
      <c r="H21" s="287" t="s">
        <v>28</v>
      </c>
      <c r="I21" s="287" t="s">
        <v>29</v>
      </c>
      <c r="J21" s="288" t="s">
        <v>30</v>
      </c>
      <c r="K21" s="289"/>
    </row>
    <row r="22" spans="2:16" ht="16.5">
      <c r="B22" s="290" t="s">
        <v>31</v>
      </c>
      <c r="C22" s="291" t="s">
        <v>32</v>
      </c>
      <c r="D22" s="291" t="s">
        <v>33</v>
      </c>
      <c r="E22" s="291" t="s">
        <v>34</v>
      </c>
      <c r="F22" s="291" t="s">
        <v>35</v>
      </c>
      <c r="G22" s="291" t="s">
        <v>36</v>
      </c>
      <c r="H22" s="291" t="s">
        <v>37</v>
      </c>
      <c r="I22" s="291" t="s">
        <v>38</v>
      </c>
      <c r="J22" s="292" t="s">
        <v>39</v>
      </c>
      <c r="K22" s="162"/>
    </row>
    <row r="23" spans="2:16" ht="39" customHeight="1">
      <c r="B23" s="37" t="s">
        <v>40</v>
      </c>
      <c r="C23" s="38" t="s">
        <v>41</v>
      </c>
      <c r="D23" s="38" t="s">
        <v>42</v>
      </c>
      <c r="E23" s="38" t="s">
        <v>43</v>
      </c>
      <c r="F23" s="38" t="s">
        <v>44</v>
      </c>
      <c r="G23" s="38" t="s">
        <v>45</v>
      </c>
      <c r="H23" s="38" t="s">
        <v>46</v>
      </c>
      <c r="I23" s="38" t="s">
        <v>47</v>
      </c>
      <c r="J23" s="164" t="s">
        <v>48</v>
      </c>
      <c r="K23" s="163"/>
    </row>
    <row r="24" spans="2:16" ht="19.5" customHeight="1"/>
    <row r="25" spans="2:16" ht="19.5" customHeight="1"/>
    <row r="26" spans="2:16" ht="19.5" customHeight="1"/>
    <row r="27" spans="2:16" ht="4.5" customHeight="1"/>
    <row r="28" spans="2:16" ht="30.75" customHeight="1">
      <c r="B28" s="12" t="s">
        <v>49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2:16" ht="19.5" customHeight="1">
      <c r="B29" s="39" t="s">
        <v>50</v>
      </c>
      <c r="C29" s="48" t="s">
        <v>51</v>
      </c>
      <c r="D29" s="48"/>
      <c r="E29" s="48"/>
      <c r="F29" s="48"/>
      <c r="G29" s="48"/>
      <c r="H29" s="48"/>
      <c r="I29" s="48"/>
      <c r="J29" s="171"/>
      <c r="K29" s="161"/>
    </row>
    <row r="30" spans="2:16" ht="19.5" customHeight="1">
      <c r="B30" s="41" t="s">
        <v>52</v>
      </c>
      <c r="C30" s="49" t="s">
        <v>53</v>
      </c>
      <c r="D30" s="49"/>
      <c r="E30" s="49"/>
      <c r="F30" s="49"/>
      <c r="G30" s="49"/>
      <c r="H30" s="49"/>
      <c r="I30" s="49"/>
      <c r="J30" s="172"/>
      <c r="K30" s="162"/>
    </row>
    <row r="31" spans="2:16" ht="15.75">
      <c r="B31" s="43" t="s">
        <v>54</v>
      </c>
      <c r="C31" s="51" t="s">
        <v>55</v>
      </c>
      <c r="D31" s="51"/>
      <c r="E31" s="51"/>
      <c r="F31" s="51"/>
      <c r="G31" s="51"/>
      <c r="H31" s="51"/>
      <c r="I31" s="51"/>
      <c r="J31" s="173"/>
      <c r="K31" s="162"/>
    </row>
    <row r="32" spans="2:16" ht="15.75">
      <c r="B32" s="41" t="s">
        <v>56</v>
      </c>
      <c r="C32" s="49" t="s">
        <v>57</v>
      </c>
      <c r="D32" s="49"/>
      <c r="E32" s="49"/>
      <c r="F32" s="53"/>
      <c r="G32" s="53"/>
      <c r="H32" s="53"/>
      <c r="I32" s="53"/>
      <c r="J32" s="172"/>
      <c r="K32" s="162"/>
    </row>
    <row r="33" spans="2:11" ht="15.75">
      <c r="B33" s="43" t="s">
        <v>58</v>
      </c>
      <c r="C33" s="54" t="s">
        <v>59</v>
      </c>
      <c r="D33" s="54"/>
      <c r="E33" s="55"/>
      <c r="F33" s="56"/>
      <c r="G33" s="56"/>
      <c r="H33" s="56"/>
      <c r="I33" s="56"/>
      <c r="J33" s="174"/>
      <c r="K33" s="162"/>
    </row>
    <row r="34" spans="2:11" ht="15.75">
      <c r="B34" s="41" t="s">
        <v>60</v>
      </c>
      <c r="C34" s="57" t="s">
        <v>61</v>
      </c>
      <c r="D34" s="57"/>
      <c r="E34" s="58"/>
      <c r="F34" s="59"/>
      <c r="G34" s="59"/>
      <c r="H34" s="59"/>
      <c r="I34" s="59"/>
      <c r="J34" s="59"/>
      <c r="K34" s="162"/>
    </row>
    <row r="35" spans="2:11" ht="15.75">
      <c r="B35" s="60" t="s">
        <v>62</v>
      </c>
      <c r="C35" s="61" t="s">
        <v>63</v>
      </c>
      <c r="D35" s="61"/>
      <c r="E35" s="62"/>
      <c r="F35" s="63"/>
      <c r="G35" s="63"/>
      <c r="H35" s="63"/>
      <c r="I35" s="63"/>
      <c r="J35" s="174"/>
      <c r="K35" s="163"/>
    </row>
  </sheetData>
  <mergeCells count="15">
    <mergeCell ref="B2:K6"/>
    <mergeCell ref="B7:K7"/>
    <mergeCell ref="B9:K9"/>
    <mergeCell ref="C10:I10"/>
    <mergeCell ref="C11:I11"/>
    <mergeCell ref="C12:I12"/>
    <mergeCell ref="C13:I13"/>
    <mergeCell ref="C14:I14"/>
    <mergeCell ref="C15:I15"/>
    <mergeCell ref="B20:K20"/>
    <mergeCell ref="B28:K28"/>
    <mergeCell ref="C29:J29"/>
    <mergeCell ref="C30:J30"/>
    <mergeCell ref="C31:J31"/>
    <mergeCell ref="C32:J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showGridLines="0" topLeftCell="A4" zoomScaleNormal="100" workbookViewId="0">
      <selection activeCell="L8" sqref="L8"/>
    </sheetView>
  </sheetViews>
  <sheetFormatPr defaultColWidth="8.7109375" defaultRowHeight="15"/>
  <cols>
    <col min="1" max="1" width="27.140625" style="1" customWidth="1"/>
    <col min="2" max="2" width="22.85546875" style="1" customWidth="1"/>
    <col min="3" max="3" width="18" style="1" customWidth="1"/>
    <col min="4" max="4" width="22.42578125" style="1" customWidth="1"/>
    <col min="5" max="5" width="20.7109375" style="1" customWidth="1"/>
    <col min="6" max="6" width="18.5703125" style="1" customWidth="1"/>
    <col min="7" max="7" width="16.140625" style="1" customWidth="1"/>
    <col min="8" max="8" width="18.28515625" style="1" customWidth="1"/>
    <col min="9" max="9" width="20.140625" style="1" customWidth="1"/>
  </cols>
  <sheetData>
    <row r="1" spans="1:9" ht="27.75" customHeight="1">
      <c r="A1" s="4" t="s">
        <v>64</v>
      </c>
      <c r="B1" s="4"/>
      <c r="C1" s="4"/>
      <c r="D1" s="4"/>
      <c r="E1" s="4"/>
      <c r="F1" s="4"/>
      <c r="G1" s="4"/>
      <c r="H1" s="4"/>
      <c r="I1" s="4"/>
    </row>
    <row r="3" spans="1:9" ht="33.75" customHeight="1">
      <c r="A3" s="3" t="s">
        <v>65</v>
      </c>
      <c r="B3" s="3"/>
      <c r="C3" s="3"/>
      <c r="D3" s="3"/>
      <c r="E3" s="3"/>
      <c r="F3" s="3"/>
      <c r="G3" s="3"/>
      <c r="H3" s="3"/>
      <c r="I3" s="3"/>
    </row>
    <row r="4" spans="1:9" ht="31.5" customHeight="1">
      <c r="A4" s="87" t="s">
        <v>66</v>
      </c>
      <c r="B4" s="88" t="s">
        <v>67</v>
      </c>
      <c r="C4" s="88" t="s">
        <v>68</v>
      </c>
      <c r="D4" s="88" t="s">
        <v>69</v>
      </c>
      <c r="E4" s="88" t="s">
        <v>70</v>
      </c>
      <c r="F4" s="88" t="s">
        <v>71</v>
      </c>
      <c r="G4" s="88" t="s">
        <v>72</v>
      </c>
      <c r="H4" s="88" t="s">
        <v>73</v>
      </c>
      <c r="I4" s="89" t="s">
        <v>74</v>
      </c>
    </row>
    <row r="5" spans="1:9" ht="15" customHeight="1">
      <c r="A5" s="90">
        <v>2020</v>
      </c>
      <c r="B5" s="91">
        <v>151.1</v>
      </c>
      <c r="C5" s="92">
        <v>1.53</v>
      </c>
      <c r="D5" s="93">
        <f>C5/B5</f>
        <v>1.012574454003971E-2</v>
      </c>
      <c r="E5" s="93" t="s">
        <v>75</v>
      </c>
      <c r="F5" s="92">
        <v>0.15</v>
      </c>
      <c r="G5" s="93">
        <f>F5/C5</f>
        <v>9.8039215686274508E-2</v>
      </c>
      <c r="H5" s="94" t="s">
        <v>33</v>
      </c>
      <c r="I5" s="95" t="s">
        <v>76</v>
      </c>
    </row>
    <row r="6" spans="1:9" ht="15" customHeight="1">
      <c r="A6" s="96">
        <v>2021</v>
      </c>
      <c r="B6" s="97">
        <v>135.80000000000001</v>
      </c>
      <c r="C6" s="98">
        <v>2.31</v>
      </c>
      <c r="D6" s="99">
        <f>C6/B6</f>
        <v>1.7010309278350514E-2</v>
      </c>
      <c r="E6" s="99">
        <f>C6/C5-1</f>
        <v>0.50980392156862742</v>
      </c>
      <c r="F6" s="98">
        <v>0.28000000000000003</v>
      </c>
      <c r="G6" s="99">
        <f>F6/C6</f>
        <v>0.12121212121212122</v>
      </c>
      <c r="H6" s="100" t="s">
        <v>77</v>
      </c>
      <c r="I6" s="101" t="s">
        <v>75</v>
      </c>
    </row>
    <row r="7" spans="1:9" ht="15" customHeight="1">
      <c r="A7" s="90">
        <v>2022</v>
      </c>
      <c r="B7" s="91">
        <v>159</v>
      </c>
      <c r="C7" s="92">
        <v>6.01</v>
      </c>
      <c r="D7" s="93">
        <f>C7/B7</f>
        <v>3.7798742138364781E-2</v>
      </c>
      <c r="E7" s="93">
        <f>C7/C6-1</f>
        <v>1.6017316017316015</v>
      </c>
      <c r="F7" s="92">
        <v>0.63</v>
      </c>
      <c r="G7" s="93">
        <f>F7/C7</f>
        <v>0.1048252911813644</v>
      </c>
      <c r="H7" s="94" t="s">
        <v>77</v>
      </c>
      <c r="I7" s="95" t="s">
        <v>78</v>
      </c>
    </row>
    <row r="8" spans="1:9" ht="15" customHeight="1">
      <c r="A8" s="96">
        <v>2023</v>
      </c>
      <c r="B8" s="97">
        <v>172.4</v>
      </c>
      <c r="C8" s="98">
        <v>9.48</v>
      </c>
      <c r="D8" s="99">
        <f>C8/B8</f>
        <v>5.4988399071925757E-2</v>
      </c>
      <c r="E8" s="99">
        <f>C8/C7-1</f>
        <v>0.57737104825291197</v>
      </c>
      <c r="F8" s="98">
        <v>1.1000000000000001</v>
      </c>
      <c r="G8" s="99">
        <f>F8/C8</f>
        <v>0.1160337552742616</v>
      </c>
      <c r="H8" s="100" t="s">
        <v>77</v>
      </c>
      <c r="I8" s="101" t="s">
        <v>79</v>
      </c>
    </row>
    <row r="9" spans="1:9" ht="15" customHeight="1">
      <c r="A9" s="90">
        <v>2024</v>
      </c>
      <c r="B9" s="91">
        <v>185</v>
      </c>
      <c r="C9" s="92">
        <v>14.2</v>
      </c>
      <c r="D9" s="93">
        <f>C9/B9</f>
        <v>7.675675675675675E-2</v>
      </c>
      <c r="E9" s="93">
        <f>C9/C8-1</f>
        <v>0.4978902953586497</v>
      </c>
      <c r="F9" s="92">
        <v>1.65</v>
      </c>
      <c r="G9" s="93">
        <f>F9/C9</f>
        <v>0.11619718309859155</v>
      </c>
      <c r="H9" s="94" t="s">
        <v>77</v>
      </c>
      <c r="I9" s="95" t="s">
        <v>80</v>
      </c>
    </row>
    <row r="10" spans="1:9" ht="15" customHeight="1">
      <c r="A10" s="96">
        <v>2025</v>
      </c>
      <c r="B10" s="97">
        <v>195</v>
      </c>
      <c r="C10" s="98">
        <v>22</v>
      </c>
      <c r="D10" s="99">
        <f>C10/B10</f>
        <v>0.11282051282051282</v>
      </c>
      <c r="E10" s="99">
        <f>C10/C9-1</f>
        <v>0.54929577464788748</v>
      </c>
      <c r="F10" s="98">
        <v>2.5</v>
      </c>
      <c r="G10" s="99">
        <f>F10/C10</f>
        <v>0.11363636363636363</v>
      </c>
      <c r="H10" s="100" t="s">
        <v>77</v>
      </c>
      <c r="I10" s="101" t="s">
        <v>81</v>
      </c>
    </row>
    <row r="11" spans="1:9" ht="15" customHeight="1">
      <c r="A11" s="90">
        <v>2026</v>
      </c>
      <c r="B11" s="91">
        <v>205</v>
      </c>
      <c r="C11" s="92">
        <v>33</v>
      </c>
      <c r="D11" s="93">
        <f>C11/B11</f>
        <v>0.16097560975609757</v>
      </c>
      <c r="E11" s="93">
        <f>C11/C10-1</f>
        <v>0.5</v>
      </c>
      <c r="F11" s="92">
        <v>3.8</v>
      </c>
      <c r="G11" s="93">
        <f>F11/C11</f>
        <v>0.11515151515151514</v>
      </c>
      <c r="H11" s="94" t="s">
        <v>82</v>
      </c>
      <c r="I11" s="95" t="s">
        <v>83</v>
      </c>
    </row>
    <row r="12" spans="1:9" ht="15" customHeight="1">
      <c r="A12" s="96">
        <v>2027</v>
      </c>
      <c r="B12" s="97">
        <v>215</v>
      </c>
      <c r="C12" s="98">
        <v>48</v>
      </c>
      <c r="D12" s="99">
        <f>C12/B12</f>
        <v>0.22325581395348837</v>
      </c>
      <c r="E12" s="99">
        <f>C12/C11-1</f>
        <v>0.45454545454545459</v>
      </c>
      <c r="F12" s="98">
        <v>5.5</v>
      </c>
      <c r="G12" s="99">
        <f>F12/C12</f>
        <v>0.11458333333333333</v>
      </c>
      <c r="H12" s="100" t="s">
        <v>82</v>
      </c>
      <c r="I12" s="101" t="s">
        <v>84</v>
      </c>
    </row>
    <row r="13" spans="1:9" ht="15" customHeight="1">
      <c r="A13" s="90">
        <v>2028</v>
      </c>
      <c r="B13" s="91">
        <v>220</v>
      </c>
      <c r="C13" s="92">
        <v>65</v>
      </c>
      <c r="D13" s="93">
        <f>C13/B13</f>
        <v>0.29545454545454547</v>
      </c>
      <c r="E13" s="93">
        <f>C13/C12-1</f>
        <v>0.35416666666666674</v>
      </c>
      <c r="F13" s="92">
        <v>7.8</v>
      </c>
      <c r="G13" s="93">
        <f>F13/C13</f>
        <v>0.12</v>
      </c>
      <c r="H13" s="94" t="s">
        <v>82</v>
      </c>
      <c r="I13" s="95" t="s">
        <v>85</v>
      </c>
    </row>
    <row r="14" spans="1:9" ht="15" customHeight="1">
      <c r="A14" s="96">
        <v>2029</v>
      </c>
      <c r="B14" s="97">
        <v>225</v>
      </c>
      <c r="C14" s="98">
        <v>82</v>
      </c>
      <c r="D14" s="99">
        <f>C14/B14</f>
        <v>0.36444444444444446</v>
      </c>
      <c r="E14" s="99">
        <f>C14/C13-1</f>
        <v>0.2615384615384615</v>
      </c>
      <c r="F14" s="98">
        <v>10.199999999999999</v>
      </c>
      <c r="G14" s="99">
        <f>F14/C14</f>
        <v>0.12439024390243901</v>
      </c>
      <c r="H14" s="100" t="s">
        <v>82</v>
      </c>
      <c r="I14" s="101" t="s">
        <v>86</v>
      </c>
    </row>
    <row r="15" spans="1:9" ht="15" customHeight="1">
      <c r="A15" s="102">
        <v>2030</v>
      </c>
      <c r="B15" s="103">
        <v>230</v>
      </c>
      <c r="C15" s="104">
        <v>100</v>
      </c>
      <c r="D15" s="105">
        <f>C15/B15</f>
        <v>0.43478260869565216</v>
      </c>
      <c r="E15" s="105">
        <f>C15/C14-1</f>
        <v>0.21951219512195119</v>
      </c>
      <c r="F15" s="104">
        <v>14</v>
      </c>
      <c r="G15" s="105">
        <f>F15/C15</f>
        <v>0.14000000000000001</v>
      </c>
      <c r="H15" s="106" t="s">
        <v>82</v>
      </c>
      <c r="I15" s="107" t="s">
        <v>87</v>
      </c>
    </row>
    <row r="16" spans="1:9" ht="15" customHeight="1">
      <c r="A16" s="7" t="s">
        <v>88</v>
      </c>
      <c r="B16" s="7"/>
      <c r="C16" s="7"/>
      <c r="D16" s="7"/>
      <c r="E16" s="7"/>
      <c r="F16" s="7"/>
      <c r="G16" s="7"/>
      <c r="H16" s="7"/>
      <c r="I16" s="7"/>
    </row>
    <row r="18" spans="1:9" ht="36" customHeight="1">
      <c r="A18" s="2" t="s">
        <v>89</v>
      </c>
      <c r="B18" s="2"/>
      <c r="C18" s="2"/>
      <c r="D18" s="2"/>
      <c r="E18" s="2"/>
      <c r="F18" s="2"/>
      <c r="G18" s="2"/>
      <c r="H18" s="2"/>
      <c r="I18" s="2"/>
    </row>
    <row r="19" spans="1:9" ht="33.75" customHeight="1">
      <c r="A19" s="64" t="s">
        <v>90</v>
      </c>
      <c r="B19" s="65" t="s">
        <v>91</v>
      </c>
      <c r="C19" s="65"/>
      <c r="D19" s="65"/>
      <c r="E19" s="65"/>
      <c r="F19" s="65"/>
      <c r="G19" s="64" t="s">
        <v>92</v>
      </c>
      <c r="H19" s="64" t="s">
        <v>93</v>
      </c>
      <c r="I19" s="64" t="s">
        <v>94</v>
      </c>
    </row>
    <row r="20" spans="1:9" ht="27.75" customHeight="1">
      <c r="A20" s="39" t="s">
        <v>95</v>
      </c>
      <c r="B20" s="66" t="s">
        <v>96</v>
      </c>
      <c r="C20" s="66"/>
      <c r="D20" s="66"/>
      <c r="E20" s="66"/>
      <c r="F20" s="66"/>
      <c r="G20" s="67" t="s">
        <v>97</v>
      </c>
      <c r="H20" s="68" t="s">
        <v>98</v>
      </c>
      <c r="I20" s="69" t="s">
        <v>99</v>
      </c>
    </row>
    <row r="21" spans="1:9" ht="27.75" customHeight="1">
      <c r="A21" s="41" t="s">
        <v>100</v>
      </c>
      <c r="B21" s="70" t="s">
        <v>101</v>
      </c>
      <c r="C21" s="70"/>
      <c r="D21" s="70"/>
      <c r="E21" s="70"/>
      <c r="F21" s="70"/>
      <c r="G21" s="71" t="s">
        <v>97</v>
      </c>
      <c r="H21" s="72" t="s">
        <v>102</v>
      </c>
      <c r="I21" s="73" t="s">
        <v>103</v>
      </c>
    </row>
    <row r="22" spans="1:9" ht="27.75" customHeight="1">
      <c r="A22" s="43" t="s">
        <v>104</v>
      </c>
      <c r="B22" s="74" t="s">
        <v>105</v>
      </c>
      <c r="C22" s="74"/>
      <c r="D22" s="74"/>
      <c r="E22" s="74"/>
      <c r="F22" s="74"/>
      <c r="G22" s="75" t="s">
        <v>106</v>
      </c>
      <c r="H22" s="76" t="s">
        <v>107</v>
      </c>
      <c r="I22" s="77" t="s">
        <v>108</v>
      </c>
    </row>
    <row r="23" spans="1:9" ht="27.75" customHeight="1">
      <c r="A23" s="41" t="s">
        <v>109</v>
      </c>
      <c r="B23" s="70" t="s">
        <v>110</v>
      </c>
      <c r="C23" s="70"/>
      <c r="D23" s="70"/>
      <c r="E23" s="70"/>
      <c r="F23" s="70"/>
      <c r="G23" s="71" t="s">
        <v>97</v>
      </c>
      <c r="H23" s="72" t="s">
        <v>102</v>
      </c>
      <c r="I23" s="73" t="s">
        <v>111</v>
      </c>
    </row>
    <row r="24" spans="1:9" ht="27.75" customHeight="1">
      <c r="A24" s="43" t="s">
        <v>112</v>
      </c>
      <c r="B24" s="74" t="s">
        <v>113</v>
      </c>
      <c r="C24" s="74"/>
      <c r="D24" s="74"/>
      <c r="E24" s="74"/>
      <c r="F24" s="74"/>
      <c r="G24" s="75" t="s">
        <v>97</v>
      </c>
      <c r="H24" s="76" t="s">
        <v>98</v>
      </c>
      <c r="I24" s="77" t="s">
        <v>103</v>
      </c>
    </row>
    <row r="25" spans="1:9" ht="27.75" customHeight="1">
      <c r="A25" s="78" t="s">
        <v>114</v>
      </c>
      <c r="B25" s="70" t="s">
        <v>115</v>
      </c>
      <c r="C25" s="70"/>
      <c r="D25" s="70"/>
      <c r="E25" s="70"/>
      <c r="F25" s="70"/>
      <c r="G25" s="71" t="s">
        <v>106</v>
      </c>
      <c r="H25" s="72" t="s">
        <v>116</v>
      </c>
      <c r="I25" s="73" t="s">
        <v>117</v>
      </c>
    </row>
    <row r="26" spans="1:9" ht="27.75" customHeight="1">
      <c r="A26" s="79" t="s">
        <v>118</v>
      </c>
      <c r="B26" s="74" t="s">
        <v>119</v>
      </c>
      <c r="C26" s="74"/>
      <c r="D26" s="74"/>
      <c r="E26" s="74"/>
      <c r="F26" s="74"/>
      <c r="G26" s="75" t="s">
        <v>106</v>
      </c>
      <c r="H26" s="76" t="s">
        <v>120</v>
      </c>
      <c r="I26" s="77" t="s">
        <v>108</v>
      </c>
    </row>
    <row r="27" spans="1:9" ht="27.75" customHeight="1">
      <c r="A27" s="80" t="s">
        <v>121</v>
      </c>
      <c r="B27" s="70" t="s">
        <v>122</v>
      </c>
      <c r="C27" s="70"/>
      <c r="D27" s="70"/>
      <c r="E27" s="70"/>
      <c r="F27" s="70"/>
      <c r="G27" s="71" t="s">
        <v>97</v>
      </c>
      <c r="H27" s="72" t="s">
        <v>123</v>
      </c>
      <c r="I27" s="73" t="s">
        <v>103</v>
      </c>
    </row>
    <row r="28" spans="1:9" ht="27.75" customHeight="1">
      <c r="A28" s="81" t="s">
        <v>124</v>
      </c>
      <c r="B28" s="74" t="s">
        <v>125</v>
      </c>
      <c r="C28" s="74"/>
      <c r="D28" s="74"/>
      <c r="E28" s="74"/>
      <c r="F28" s="74"/>
      <c r="G28" s="75" t="s">
        <v>97</v>
      </c>
      <c r="H28" s="76" t="s">
        <v>102</v>
      </c>
      <c r="I28" s="77" t="s">
        <v>103</v>
      </c>
    </row>
    <row r="29" spans="1:9" ht="27.75" customHeight="1">
      <c r="A29" s="82" t="s">
        <v>126</v>
      </c>
      <c r="B29" s="83" t="s">
        <v>127</v>
      </c>
      <c r="C29" s="83"/>
      <c r="D29" s="83"/>
      <c r="E29" s="83"/>
      <c r="F29" s="83"/>
      <c r="G29" s="84" t="s">
        <v>128</v>
      </c>
      <c r="H29" s="85" t="s">
        <v>129</v>
      </c>
      <c r="I29" s="86" t="s">
        <v>130</v>
      </c>
    </row>
  </sheetData>
  <mergeCells count="15">
    <mergeCell ref="A1:I1"/>
    <mergeCell ref="A3:I3"/>
    <mergeCell ref="A16:I16"/>
    <mergeCell ref="A18:I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topLeftCell="A17" zoomScaleNormal="100" workbookViewId="0">
      <selection activeCell="L24" sqref="L24"/>
    </sheetView>
  </sheetViews>
  <sheetFormatPr defaultColWidth="8.7109375" defaultRowHeight="15"/>
  <cols>
    <col min="1" max="1" width="22" style="1" customWidth="1"/>
    <col min="2" max="2" width="24.28515625" style="1" customWidth="1"/>
    <col min="3" max="3" width="18" style="1" customWidth="1"/>
    <col min="4" max="5" width="12" style="1" customWidth="1"/>
    <col min="6" max="6" width="20.140625" style="1" customWidth="1"/>
    <col min="7" max="7" width="16" style="1" customWidth="1"/>
    <col min="8" max="8" width="30.28515625" style="1" customWidth="1"/>
  </cols>
  <sheetData>
    <row r="1" spans="1:8" ht="27.75" customHeight="1">
      <c r="A1" s="4" t="s">
        <v>131</v>
      </c>
      <c r="B1" s="4"/>
      <c r="C1" s="4"/>
      <c r="D1" s="4"/>
      <c r="E1" s="4"/>
      <c r="F1" s="4"/>
      <c r="G1" s="4"/>
      <c r="H1" s="4"/>
    </row>
    <row r="3" spans="1:8" ht="25.5" customHeight="1">
      <c r="A3" s="17" t="s">
        <v>132</v>
      </c>
      <c r="B3" s="18"/>
      <c r="C3" s="18"/>
      <c r="D3" s="18"/>
      <c r="E3" s="129"/>
      <c r="F3" s="129"/>
      <c r="G3" s="129"/>
      <c r="H3" s="130"/>
    </row>
    <row r="4" spans="1:8" ht="15" customHeight="1">
      <c r="A4" s="120" t="s">
        <v>133</v>
      </c>
      <c r="B4" s="108" t="s">
        <v>134</v>
      </c>
      <c r="C4" s="108"/>
      <c r="D4" s="124"/>
      <c r="E4" s="126" t="s">
        <v>135</v>
      </c>
      <c r="F4" s="127"/>
      <c r="G4" s="127"/>
      <c r="H4" s="128"/>
    </row>
    <row r="5" spans="1:8" ht="15" customHeight="1">
      <c r="A5" s="121" t="s">
        <v>136</v>
      </c>
      <c r="B5" s="109" t="s">
        <v>31</v>
      </c>
      <c r="C5" s="109"/>
      <c r="D5" s="124"/>
      <c r="E5" s="131" t="s">
        <v>137</v>
      </c>
      <c r="F5" s="131"/>
      <c r="G5" s="131"/>
      <c r="H5" s="132"/>
    </row>
    <row r="6" spans="1:8" ht="15" customHeight="1">
      <c r="A6" s="122" t="s">
        <v>138</v>
      </c>
      <c r="B6" s="110" t="s">
        <v>139</v>
      </c>
      <c r="C6" s="110"/>
      <c r="D6" s="124"/>
      <c r="E6" s="49" t="s">
        <v>140</v>
      </c>
      <c r="F6" s="49"/>
      <c r="G6" s="49"/>
      <c r="H6" s="50"/>
    </row>
    <row r="7" spans="1:8" ht="15" customHeight="1">
      <c r="A7" s="121" t="s">
        <v>141</v>
      </c>
      <c r="B7" s="109" t="s">
        <v>142</v>
      </c>
      <c r="C7" s="109"/>
      <c r="D7" s="124"/>
      <c r="E7" s="51" t="s">
        <v>143</v>
      </c>
      <c r="F7" s="51"/>
      <c r="G7" s="51"/>
      <c r="H7" s="52"/>
    </row>
    <row r="8" spans="1:8" ht="15" customHeight="1">
      <c r="A8" s="122" t="s">
        <v>144</v>
      </c>
      <c r="B8" s="110" t="s">
        <v>145</v>
      </c>
      <c r="C8" s="110"/>
      <c r="D8" s="124"/>
      <c r="E8" s="49" t="s">
        <v>146</v>
      </c>
      <c r="F8" s="49"/>
      <c r="G8" s="49"/>
      <c r="H8" s="50"/>
    </row>
    <row r="9" spans="1:8" ht="15" customHeight="1">
      <c r="A9" s="121" t="s">
        <v>147</v>
      </c>
      <c r="B9" s="109" t="s">
        <v>33</v>
      </c>
      <c r="C9" s="109"/>
      <c r="D9" s="124"/>
      <c r="E9" s="51" t="s">
        <v>148</v>
      </c>
      <c r="F9" s="51"/>
      <c r="G9" s="51"/>
      <c r="H9" s="52"/>
    </row>
    <row r="10" spans="1:8" ht="15" customHeight="1">
      <c r="A10" s="122" t="s">
        <v>149</v>
      </c>
      <c r="B10" s="110" t="s">
        <v>150</v>
      </c>
      <c r="C10" s="110"/>
      <c r="D10" s="124"/>
      <c r="E10" s="49" t="s">
        <v>151</v>
      </c>
      <c r="F10" s="49"/>
      <c r="G10" s="49"/>
      <c r="H10" s="50"/>
    </row>
    <row r="11" spans="1:8" ht="15" customHeight="1">
      <c r="A11" s="121" t="s">
        <v>152</v>
      </c>
      <c r="B11" s="109" t="s">
        <v>153</v>
      </c>
      <c r="C11" s="109"/>
      <c r="D11" s="124"/>
      <c r="E11" s="51" t="s">
        <v>154</v>
      </c>
      <c r="F11" s="51"/>
      <c r="G11" s="51"/>
      <c r="H11" s="52"/>
    </row>
    <row r="12" spans="1:8" ht="15" customHeight="1">
      <c r="A12" s="122" t="s">
        <v>155</v>
      </c>
      <c r="B12" s="110" t="s">
        <v>156</v>
      </c>
      <c r="C12" s="110"/>
      <c r="D12" s="124"/>
      <c r="E12" s="49" t="s">
        <v>157</v>
      </c>
      <c r="F12" s="49"/>
      <c r="G12" s="49"/>
      <c r="H12" s="50"/>
    </row>
    <row r="13" spans="1:8" ht="15" customHeight="1">
      <c r="A13" s="121" t="s">
        <v>158</v>
      </c>
      <c r="B13" s="109" t="s">
        <v>159</v>
      </c>
      <c r="C13" s="109"/>
      <c r="D13" s="124"/>
      <c r="E13" s="51" t="s">
        <v>160</v>
      </c>
      <c r="F13" s="51"/>
      <c r="G13" s="51"/>
      <c r="H13" s="52"/>
    </row>
    <row r="14" spans="1:8" ht="15" customHeight="1">
      <c r="A14" s="123" t="s">
        <v>161</v>
      </c>
      <c r="B14" s="111" t="s">
        <v>162</v>
      </c>
      <c r="C14" s="111"/>
      <c r="D14" s="125"/>
      <c r="E14" s="112" t="s">
        <v>163</v>
      </c>
      <c r="F14" s="112"/>
      <c r="G14" s="112"/>
      <c r="H14" s="113"/>
    </row>
    <row r="16" spans="1:8" ht="48" customHeight="1">
      <c r="A16" s="3" t="s">
        <v>164</v>
      </c>
      <c r="B16" s="3"/>
      <c r="C16" s="3"/>
      <c r="D16" s="3"/>
      <c r="E16" s="3"/>
      <c r="F16" s="3"/>
      <c r="G16" s="3"/>
      <c r="H16" s="3"/>
    </row>
    <row r="17" spans="1:8" ht="15" customHeight="1">
      <c r="A17" s="87" t="s">
        <v>165</v>
      </c>
      <c r="B17" s="88" t="s">
        <v>166</v>
      </c>
      <c r="C17" s="88" t="s">
        <v>167</v>
      </c>
      <c r="D17" s="88" t="s">
        <v>168</v>
      </c>
      <c r="E17" s="88" t="s">
        <v>169</v>
      </c>
      <c r="F17" s="88" t="s">
        <v>170</v>
      </c>
      <c r="G17" s="114" t="s">
        <v>171</v>
      </c>
      <c r="H17" s="115"/>
    </row>
    <row r="18" spans="1:8" ht="21.75" customHeight="1">
      <c r="A18" s="116" t="s">
        <v>172</v>
      </c>
      <c r="B18" s="54" t="s">
        <v>173</v>
      </c>
      <c r="C18" s="54" t="s">
        <v>174</v>
      </c>
      <c r="D18" s="54" t="s">
        <v>175</v>
      </c>
      <c r="E18" s="54" t="s">
        <v>176</v>
      </c>
      <c r="F18" s="54" t="s">
        <v>177</v>
      </c>
      <c r="G18" s="51" t="s">
        <v>178</v>
      </c>
      <c r="H18" s="52"/>
    </row>
    <row r="19" spans="1:8" ht="21.75" customHeight="1">
      <c r="A19" s="117" t="s">
        <v>179</v>
      </c>
      <c r="B19" s="57" t="s">
        <v>180</v>
      </c>
      <c r="C19" s="57" t="s">
        <v>181</v>
      </c>
      <c r="D19" s="57" t="s">
        <v>182</v>
      </c>
      <c r="E19" s="57" t="s">
        <v>183</v>
      </c>
      <c r="F19" s="57" t="s">
        <v>184</v>
      </c>
      <c r="G19" s="49" t="s">
        <v>185</v>
      </c>
      <c r="H19" s="50"/>
    </row>
    <row r="20" spans="1:8" ht="21.75" customHeight="1">
      <c r="A20" s="116" t="s">
        <v>186</v>
      </c>
      <c r="B20" s="54" t="s">
        <v>187</v>
      </c>
      <c r="C20" s="54" t="s">
        <v>188</v>
      </c>
      <c r="D20" s="54" t="s">
        <v>189</v>
      </c>
      <c r="E20" s="54" t="s">
        <v>176</v>
      </c>
      <c r="F20" s="54" t="s">
        <v>190</v>
      </c>
      <c r="G20" s="51" t="s">
        <v>191</v>
      </c>
      <c r="H20" s="52"/>
    </row>
    <row r="21" spans="1:8" ht="21.75" customHeight="1">
      <c r="A21" s="118" t="s">
        <v>192</v>
      </c>
      <c r="B21" s="119" t="s">
        <v>193</v>
      </c>
      <c r="C21" s="119" t="s">
        <v>194</v>
      </c>
      <c r="D21" s="119" t="s">
        <v>195</v>
      </c>
      <c r="E21" s="119" t="s">
        <v>183</v>
      </c>
      <c r="F21" s="119" t="s">
        <v>190</v>
      </c>
      <c r="G21" s="112" t="s">
        <v>196</v>
      </c>
      <c r="H21" s="113"/>
    </row>
    <row r="23" spans="1:8" ht="25.5" customHeight="1">
      <c r="A23" s="9" t="s">
        <v>197</v>
      </c>
      <c r="B23" s="9"/>
      <c r="C23" s="9"/>
      <c r="D23" s="9"/>
      <c r="E23" s="9"/>
      <c r="F23" s="9"/>
      <c r="G23" s="9"/>
      <c r="H23" s="9"/>
    </row>
    <row r="24" spans="1:8" ht="24.75" customHeight="1">
      <c r="A24" s="133" t="s">
        <v>198</v>
      </c>
      <c r="B24" s="114"/>
      <c r="C24" s="114" t="s">
        <v>199</v>
      </c>
      <c r="D24" s="114"/>
      <c r="E24" s="114"/>
      <c r="F24" s="114"/>
      <c r="G24" s="114"/>
      <c r="H24" s="115"/>
    </row>
    <row r="25" spans="1:8" ht="30" customHeight="1">
      <c r="A25" s="134" t="s">
        <v>200</v>
      </c>
      <c r="B25" s="135"/>
      <c r="C25" s="74" t="s">
        <v>201</v>
      </c>
      <c r="D25" s="74"/>
      <c r="E25" s="74"/>
      <c r="F25" s="74"/>
      <c r="G25" s="74"/>
      <c r="H25" s="136"/>
    </row>
    <row r="26" spans="1:8" ht="30" customHeight="1">
      <c r="A26" s="137" t="s">
        <v>202</v>
      </c>
      <c r="B26" s="138"/>
      <c r="C26" s="70" t="s">
        <v>203</v>
      </c>
      <c r="D26" s="70"/>
      <c r="E26" s="70"/>
      <c r="F26" s="70"/>
      <c r="G26" s="70"/>
      <c r="H26" s="139"/>
    </row>
    <row r="27" spans="1:8" ht="30" customHeight="1">
      <c r="A27" s="134" t="s">
        <v>204</v>
      </c>
      <c r="B27" s="135"/>
      <c r="C27" s="74" t="s">
        <v>205</v>
      </c>
      <c r="D27" s="74"/>
      <c r="E27" s="74"/>
      <c r="F27" s="74"/>
      <c r="G27" s="74"/>
      <c r="H27" s="136"/>
    </row>
    <row r="28" spans="1:8" ht="30" customHeight="1">
      <c r="A28" s="137" t="s">
        <v>206</v>
      </c>
      <c r="B28" s="138"/>
      <c r="C28" s="70" t="s">
        <v>207</v>
      </c>
      <c r="D28" s="70"/>
      <c r="E28" s="70"/>
      <c r="F28" s="70"/>
      <c r="G28" s="70"/>
      <c r="H28" s="139"/>
    </row>
    <row r="29" spans="1:8" ht="30" customHeight="1">
      <c r="A29" s="134" t="s">
        <v>208</v>
      </c>
      <c r="B29" s="135"/>
      <c r="C29" s="74" t="s">
        <v>209</v>
      </c>
      <c r="D29" s="74"/>
      <c r="E29" s="74"/>
      <c r="F29" s="74"/>
      <c r="G29" s="74"/>
      <c r="H29" s="136"/>
    </row>
    <row r="30" spans="1:8" ht="30" customHeight="1">
      <c r="A30" s="140" t="s">
        <v>210</v>
      </c>
      <c r="B30" s="141"/>
      <c r="C30" s="83" t="s">
        <v>211</v>
      </c>
      <c r="D30" s="83"/>
      <c r="E30" s="83"/>
      <c r="F30" s="83"/>
      <c r="G30" s="83"/>
      <c r="H30" s="142"/>
    </row>
  </sheetData>
  <mergeCells count="45">
    <mergeCell ref="A1:H1"/>
    <mergeCell ref="A3:H3"/>
    <mergeCell ref="B4:C4"/>
    <mergeCell ref="E4:H4"/>
    <mergeCell ref="B5:C5"/>
    <mergeCell ref="E5:H5"/>
    <mergeCell ref="B6:C6"/>
    <mergeCell ref="E6:H6"/>
    <mergeCell ref="B7:C7"/>
    <mergeCell ref="E7:H7"/>
    <mergeCell ref="B8:C8"/>
    <mergeCell ref="E8:H8"/>
    <mergeCell ref="B9:C9"/>
    <mergeCell ref="E9:H9"/>
    <mergeCell ref="B10:C10"/>
    <mergeCell ref="E10:H10"/>
    <mergeCell ref="B11:C11"/>
    <mergeCell ref="E11:H11"/>
    <mergeCell ref="B12:C12"/>
    <mergeCell ref="E12:H12"/>
    <mergeCell ref="B13:C13"/>
    <mergeCell ref="E13:H13"/>
    <mergeCell ref="B14:C14"/>
    <mergeCell ref="E14:H14"/>
    <mergeCell ref="A16:H16"/>
    <mergeCell ref="G17:H17"/>
    <mergeCell ref="G18:H18"/>
    <mergeCell ref="G19:H19"/>
    <mergeCell ref="G20:H20"/>
    <mergeCell ref="G21:H21"/>
    <mergeCell ref="A23:H23"/>
    <mergeCell ref="A24:B24"/>
    <mergeCell ref="C24:H24"/>
    <mergeCell ref="A25:B25"/>
    <mergeCell ref="C25:H25"/>
    <mergeCell ref="A29:B29"/>
    <mergeCell ref="C29:H29"/>
    <mergeCell ref="A30:B30"/>
    <mergeCell ref="C30:H30"/>
    <mergeCell ref="A26:B26"/>
    <mergeCell ref="C26:H26"/>
    <mergeCell ref="A27:B27"/>
    <mergeCell ref="C27:H27"/>
    <mergeCell ref="A28:B28"/>
    <mergeCell ref="C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showGridLines="0" topLeftCell="A13" zoomScaleNormal="100" workbookViewId="0">
      <selection activeCell="N19" sqref="N19"/>
    </sheetView>
  </sheetViews>
  <sheetFormatPr defaultColWidth="8.7109375" defaultRowHeight="15"/>
  <cols>
    <col min="1" max="1" width="32.5703125" style="1" customWidth="1"/>
    <col min="2" max="2" width="19.140625" style="1" customWidth="1"/>
    <col min="3" max="3" width="16.7109375" style="1" customWidth="1"/>
    <col min="4" max="4" width="19" style="1" customWidth="1"/>
    <col min="5" max="5" width="17.28515625" style="1" customWidth="1"/>
    <col min="6" max="6" width="14" style="1" customWidth="1"/>
    <col min="7" max="7" width="18.7109375" style="1" customWidth="1"/>
    <col min="8" max="8" width="14" style="1" customWidth="1"/>
    <col min="9" max="9" width="16" style="1" customWidth="1"/>
  </cols>
  <sheetData>
    <row r="1" spans="1:9" ht="27.75" customHeight="1">
      <c r="A1" s="4" t="s">
        <v>212</v>
      </c>
      <c r="B1" s="4"/>
      <c r="C1" s="4"/>
      <c r="D1" s="4"/>
      <c r="E1" s="4"/>
      <c r="F1" s="4"/>
      <c r="G1" s="4"/>
      <c r="H1" s="4"/>
      <c r="I1" s="4"/>
    </row>
    <row r="3" spans="1:9" ht="28.5" customHeight="1">
      <c r="A3" s="143" t="s">
        <v>133</v>
      </c>
      <c r="B3" s="144" t="s">
        <v>213</v>
      </c>
      <c r="C3" s="144" t="s">
        <v>77</v>
      </c>
      <c r="D3" s="144" t="s">
        <v>214</v>
      </c>
      <c r="E3" s="144" t="s">
        <v>215</v>
      </c>
      <c r="F3" s="144" t="s">
        <v>216</v>
      </c>
      <c r="G3" s="144" t="s">
        <v>217</v>
      </c>
      <c r="H3" s="144" t="s">
        <v>218</v>
      </c>
      <c r="I3" s="144" t="s">
        <v>219</v>
      </c>
    </row>
    <row r="4" spans="1:9" ht="39" customHeight="1">
      <c r="A4" s="145" t="s">
        <v>220</v>
      </c>
      <c r="B4" s="146" t="s">
        <v>221</v>
      </c>
      <c r="C4" s="147" t="s">
        <v>222</v>
      </c>
      <c r="D4" s="147" t="s">
        <v>223</v>
      </c>
      <c r="E4" s="147" t="s">
        <v>224</v>
      </c>
      <c r="F4" s="147" t="s">
        <v>33</v>
      </c>
      <c r="G4" s="147" t="s">
        <v>225</v>
      </c>
      <c r="H4" s="147" t="s">
        <v>226</v>
      </c>
      <c r="I4" s="147" t="s">
        <v>227</v>
      </c>
    </row>
    <row r="5" spans="1:9" ht="25.5" customHeight="1">
      <c r="A5" s="145" t="s">
        <v>228</v>
      </c>
      <c r="B5" s="146" t="s">
        <v>36</v>
      </c>
      <c r="C5" s="148" t="s">
        <v>229</v>
      </c>
      <c r="D5" s="148" t="s">
        <v>230</v>
      </c>
      <c r="E5" s="148" t="s">
        <v>231</v>
      </c>
      <c r="F5" s="148" t="s">
        <v>232</v>
      </c>
      <c r="G5" s="148" t="s">
        <v>233</v>
      </c>
      <c r="H5" s="148" t="s">
        <v>234</v>
      </c>
      <c r="I5" s="148" t="s">
        <v>77</v>
      </c>
    </row>
    <row r="6" spans="1:9" ht="25.5" customHeight="1">
      <c r="A6" s="145" t="s">
        <v>235</v>
      </c>
      <c r="B6" s="146" t="s">
        <v>236</v>
      </c>
      <c r="C6" s="147" t="s">
        <v>237</v>
      </c>
      <c r="D6" s="147" t="s">
        <v>238</v>
      </c>
      <c r="E6" s="147" t="s">
        <v>239</v>
      </c>
      <c r="F6" s="147" t="s">
        <v>240</v>
      </c>
      <c r="G6" s="147" t="s">
        <v>241</v>
      </c>
      <c r="H6" s="147" t="s">
        <v>242</v>
      </c>
      <c r="I6" s="147" t="s">
        <v>243</v>
      </c>
    </row>
    <row r="7" spans="1:9" ht="25.5" customHeight="1">
      <c r="A7" s="145" t="s">
        <v>244</v>
      </c>
      <c r="B7" s="146" t="s">
        <v>245</v>
      </c>
      <c r="C7" s="148" t="s">
        <v>246</v>
      </c>
      <c r="D7" s="148" t="s">
        <v>247</v>
      </c>
      <c r="E7" s="148" t="s">
        <v>248</v>
      </c>
      <c r="F7" s="148" t="s">
        <v>249</v>
      </c>
      <c r="G7" s="148" t="s">
        <v>250</v>
      </c>
      <c r="H7" s="148" t="s">
        <v>251</v>
      </c>
      <c r="I7" s="148" t="s">
        <v>218</v>
      </c>
    </row>
    <row r="8" spans="1:9" ht="61.5" customHeight="1">
      <c r="A8" s="145" t="s">
        <v>252</v>
      </c>
      <c r="B8" s="146" t="s">
        <v>253</v>
      </c>
      <c r="C8" s="147" t="s">
        <v>254</v>
      </c>
      <c r="D8" s="147" t="s">
        <v>255</v>
      </c>
      <c r="E8" s="147" t="s">
        <v>256</v>
      </c>
      <c r="F8" s="147" t="s">
        <v>257</v>
      </c>
      <c r="G8" s="147" t="s">
        <v>256</v>
      </c>
      <c r="H8" s="147" t="s">
        <v>257</v>
      </c>
      <c r="I8" s="147" t="s">
        <v>258</v>
      </c>
    </row>
    <row r="9" spans="1:9" ht="25.5" customHeight="1">
      <c r="A9" s="145" t="s">
        <v>259</v>
      </c>
      <c r="B9" s="146" t="s">
        <v>260</v>
      </c>
      <c r="C9" s="148" t="s">
        <v>261</v>
      </c>
      <c r="D9" s="148" t="s">
        <v>262</v>
      </c>
      <c r="E9" s="148" t="s">
        <v>262</v>
      </c>
      <c r="F9" s="148" t="s">
        <v>263</v>
      </c>
      <c r="G9" s="148" t="s">
        <v>262</v>
      </c>
      <c r="H9" s="148" t="s">
        <v>262</v>
      </c>
      <c r="I9" s="148" t="s">
        <v>77</v>
      </c>
    </row>
    <row r="10" spans="1:9" ht="25.5" customHeight="1">
      <c r="A10" s="145" t="s">
        <v>264</v>
      </c>
      <c r="B10" s="146" t="s">
        <v>265</v>
      </c>
      <c r="C10" s="147" t="s">
        <v>266</v>
      </c>
      <c r="D10" s="147" t="s">
        <v>267</v>
      </c>
      <c r="E10" s="147" t="s">
        <v>268</v>
      </c>
      <c r="F10" s="147" t="s">
        <v>267</v>
      </c>
      <c r="G10" s="147" t="s">
        <v>268</v>
      </c>
      <c r="H10" s="147" t="s">
        <v>267</v>
      </c>
      <c r="I10" s="147" t="s">
        <v>213</v>
      </c>
    </row>
    <row r="11" spans="1:9" ht="25.5" customHeight="1">
      <c r="A11" s="145" t="s">
        <v>269</v>
      </c>
      <c r="B11" s="146" t="s">
        <v>265</v>
      </c>
      <c r="C11" s="148" t="s">
        <v>267</v>
      </c>
      <c r="D11" s="148" t="s">
        <v>266</v>
      </c>
      <c r="E11" s="148" t="s">
        <v>266</v>
      </c>
      <c r="F11" s="148" t="s">
        <v>266</v>
      </c>
      <c r="G11" s="148" t="s">
        <v>267</v>
      </c>
      <c r="H11" s="148" t="s">
        <v>266</v>
      </c>
      <c r="I11" s="148" t="s">
        <v>213</v>
      </c>
    </row>
    <row r="12" spans="1:9" ht="25.5" customHeight="1">
      <c r="A12" s="145" t="s">
        <v>270</v>
      </c>
      <c r="B12" s="146" t="s">
        <v>271</v>
      </c>
      <c r="C12" s="147" t="s">
        <v>272</v>
      </c>
      <c r="D12" s="147" t="s">
        <v>273</v>
      </c>
      <c r="E12" s="147" t="s">
        <v>274</v>
      </c>
      <c r="F12" s="147" t="s">
        <v>275</v>
      </c>
      <c r="G12" s="147" t="s">
        <v>276</v>
      </c>
      <c r="H12" s="147" t="s">
        <v>276</v>
      </c>
      <c r="I12" s="147" t="s">
        <v>277</v>
      </c>
    </row>
    <row r="13" spans="1:9" ht="25.5" customHeight="1">
      <c r="A13" s="145" t="s">
        <v>28</v>
      </c>
      <c r="B13" s="146" t="s">
        <v>278</v>
      </c>
      <c r="C13" s="148" t="s">
        <v>279</v>
      </c>
      <c r="D13" s="148" t="s">
        <v>280</v>
      </c>
      <c r="E13" s="148" t="s">
        <v>281</v>
      </c>
      <c r="F13" s="148" t="s">
        <v>282</v>
      </c>
      <c r="G13" s="148" t="s">
        <v>283</v>
      </c>
      <c r="H13" s="148" t="s">
        <v>283</v>
      </c>
      <c r="I13" s="148" t="s">
        <v>77</v>
      </c>
    </row>
    <row r="14" spans="1:9" ht="42.75" customHeight="1">
      <c r="A14" s="145" t="s">
        <v>284</v>
      </c>
      <c r="B14" s="146" t="s">
        <v>285</v>
      </c>
      <c r="C14" s="147" t="s">
        <v>285</v>
      </c>
      <c r="D14" s="147" t="s">
        <v>286</v>
      </c>
      <c r="E14" s="147" t="s">
        <v>286</v>
      </c>
      <c r="F14" s="147" t="s">
        <v>287</v>
      </c>
      <c r="G14" s="147" t="s">
        <v>285</v>
      </c>
      <c r="H14" s="147" t="s">
        <v>285</v>
      </c>
      <c r="I14" s="147" t="s">
        <v>288</v>
      </c>
    </row>
    <row r="15" spans="1:9" ht="38.25" customHeight="1">
      <c r="A15" s="145" t="s">
        <v>289</v>
      </c>
      <c r="B15" s="146" t="s">
        <v>290</v>
      </c>
      <c r="C15" s="148" t="s">
        <v>291</v>
      </c>
      <c r="D15" s="148" t="s">
        <v>292</v>
      </c>
      <c r="E15" s="148" t="s">
        <v>293</v>
      </c>
      <c r="F15" s="148" t="s">
        <v>294</v>
      </c>
      <c r="G15" s="148" t="s">
        <v>295</v>
      </c>
      <c r="H15" s="148" t="s">
        <v>295</v>
      </c>
      <c r="I15" s="148" t="s">
        <v>296</v>
      </c>
    </row>
    <row r="16" spans="1:9" ht="29.25" customHeight="1">
      <c r="A16" s="145" t="s">
        <v>297</v>
      </c>
      <c r="B16" s="146" t="s">
        <v>298</v>
      </c>
      <c r="C16" s="147" t="s">
        <v>299</v>
      </c>
      <c r="D16" s="147" t="s">
        <v>300</v>
      </c>
      <c r="E16" s="147" t="s">
        <v>300</v>
      </c>
      <c r="F16" s="147" t="s">
        <v>301</v>
      </c>
      <c r="G16" s="147" t="s">
        <v>302</v>
      </c>
      <c r="H16" s="147" t="s">
        <v>168</v>
      </c>
      <c r="I16" s="147" t="s">
        <v>75</v>
      </c>
    </row>
    <row r="17" spans="1:9" ht="39" customHeight="1">
      <c r="A17" s="145" t="s">
        <v>303</v>
      </c>
      <c r="B17" s="146" t="s">
        <v>304</v>
      </c>
      <c r="C17" s="148" t="s">
        <v>305</v>
      </c>
      <c r="D17" s="148" t="s">
        <v>306</v>
      </c>
      <c r="E17" s="148" t="s">
        <v>307</v>
      </c>
      <c r="F17" s="148" t="s">
        <v>308</v>
      </c>
      <c r="G17" s="148" t="s">
        <v>168</v>
      </c>
      <c r="H17" s="148" t="s">
        <v>309</v>
      </c>
      <c r="I17" s="148" t="s">
        <v>75</v>
      </c>
    </row>
    <row r="18" spans="1:9" ht="25.5" customHeight="1">
      <c r="A18" s="145" t="s">
        <v>310</v>
      </c>
      <c r="B18" s="146" t="s">
        <v>75</v>
      </c>
      <c r="C18" s="147" t="s">
        <v>311</v>
      </c>
      <c r="D18" s="147" t="s">
        <v>312</v>
      </c>
      <c r="E18" s="147" t="s">
        <v>313</v>
      </c>
      <c r="F18" s="147" t="s">
        <v>312</v>
      </c>
      <c r="G18" s="147" t="s">
        <v>314</v>
      </c>
      <c r="H18" s="147" t="s">
        <v>313</v>
      </c>
      <c r="I18" s="147" t="s">
        <v>77</v>
      </c>
    </row>
    <row r="22" spans="1:9" ht="36.75" customHeight="1">
      <c r="A22" s="9" t="s">
        <v>315</v>
      </c>
      <c r="B22" s="9"/>
      <c r="C22" s="9"/>
      <c r="D22" s="9"/>
      <c r="E22" s="9"/>
      <c r="F22" s="9"/>
      <c r="G22" s="9"/>
      <c r="H22" s="9"/>
      <c r="I22" s="9"/>
    </row>
    <row r="23" spans="1:9" ht="38.25" customHeight="1">
      <c r="A23" s="144" t="s">
        <v>316</v>
      </c>
      <c r="B23" s="144" t="s">
        <v>317</v>
      </c>
      <c r="C23" s="144" t="s">
        <v>318</v>
      </c>
      <c r="D23" s="144" t="s">
        <v>319</v>
      </c>
      <c r="E23" s="144" t="s">
        <v>320</v>
      </c>
      <c r="F23" s="144" t="s">
        <v>277</v>
      </c>
      <c r="G23" s="149" t="s">
        <v>321</v>
      </c>
      <c r="H23" s="144" t="s">
        <v>218</v>
      </c>
      <c r="I23" s="160"/>
    </row>
    <row r="24" spans="1:9" ht="33" customHeight="1">
      <c r="A24" s="150" t="s">
        <v>322</v>
      </c>
      <c r="B24" s="151">
        <v>9</v>
      </c>
      <c r="C24" s="94">
        <v>7</v>
      </c>
      <c r="D24" s="94">
        <v>8</v>
      </c>
      <c r="E24" s="94">
        <v>7</v>
      </c>
      <c r="F24" s="94">
        <v>8</v>
      </c>
      <c r="G24" s="152">
        <v>6</v>
      </c>
      <c r="H24" s="94">
        <v>7</v>
      </c>
      <c r="I24" s="160"/>
    </row>
    <row r="25" spans="1:9" ht="15" customHeight="1">
      <c r="A25" s="150" t="s">
        <v>323</v>
      </c>
      <c r="B25" s="151">
        <v>10</v>
      </c>
      <c r="C25" s="100">
        <v>8</v>
      </c>
      <c r="D25" s="100">
        <v>6</v>
      </c>
      <c r="E25" s="153">
        <v>5</v>
      </c>
      <c r="F25" s="100">
        <v>6</v>
      </c>
      <c r="G25" s="154">
        <v>4</v>
      </c>
      <c r="H25" s="100">
        <v>7</v>
      </c>
      <c r="I25" s="160"/>
    </row>
    <row r="26" spans="1:9" ht="15" customHeight="1">
      <c r="A26" s="150" t="s">
        <v>324</v>
      </c>
      <c r="B26" s="155">
        <v>6</v>
      </c>
      <c r="C26" s="151">
        <v>9</v>
      </c>
      <c r="D26" s="94">
        <v>6</v>
      </c>
      <c r="E26" s="94">
        <v>6</v>
      </c>
      <c r="F26" s="94">
        <v>8</v>
      </c>
      <c r="G26" s="156">
        <v>9</v>
      </c>
      <c r="H26" s="94">
        <v>6</v>
      </c>
      <c r="I26" s="160"/>
    </row>
    <row r="27" spans="1:9" ht="15" customHeight="1">
      <c r="A27" s="150" t="s">
        <v>325</v>
      </c>
      <c r="B27" s="155">
        <v>6</v>
      </c>
      <c r="C27" s="100">
        <v>7</v>
      </c>
      <c r="D27" s="151">
        <v>9</v>
      </c>
      <c r="E27" s="100">
        <v>8</v>
      </c>
      <c r="F27" s="151">
        <v>10</v>
      </c>
      <c r="G27" s="154">
        <v>4</v>
      </c>
      <c r="H27" s="153">
        <v>3</v>
      </c>
      <c r="I27" s="160"/>
    </row>
    <row r="28" spans="1:9" ht="15" customHeight="1">
      <c r="A28" s="150" t="s">
        <v>326</v>
      </c>
      <c r="B28" s="151">
        <v>9</v>
      </c>
      <c r="C28" s="151">
        <v>10</v>
      </c>
      <c r="D28" s="153">
        <v>5</v>
      </c>
      <c r="E28" s="153">
        <v>3</v>
      </c>
      <c r="F28" s="153">
        <v>5</v>
      </c>
      <c r="G28" s="154">
        <v>2</v>
      </c>
      <c r="H28" s="153">
        <v>5</v>
      </c>
      <c r="I28" s="160"/>
    </row>
    <row r="29" spans="1:9" ht="15" customHeight="1">
      <c r="A29" s="150" t="s">
        <v>327</v>
      </c>
      <c r="B29" s="155">
        <v>8</v>
      </c>
      <c r="C29" s="100">
        <v>7</v>
      </c>
      <c r="D29" s="100">
        <v>8</v>
      </c>
      <c r="E29" s="100">
        <v>8</v>
      </c>
      <c r="F29" s="151">
        <v>9</v>
      </c>
      <c r="G29" s="154">
        <v>5</v>
      </c>
      <c r="H29" s="153">
        <v>5</v>
      </c>
      <c r="I29" s="160"/>
    </row>
    <row r="30" spans="1:9" ht="15" customHeight="1">
      <c r="A30" s="150" t="s">
        <v>328</v>
      </c>
      <c r="B30" s="155">
        <v>6</v>
      </c>
      <c r="C30" s="94">
        <v>7</v>
      </c>
      <c r="D30" s="151">
        <v>9</v>
      </c>
      <c r="E30" s="151">
        <v>10</v>
      </c>
      <c r="F30" s="151">
        <v>10</v>
      </c>
      <c r="G30" s="154">
        <v>4</v>
      </c>
      <c r="H30" s="153">
        <v>3</v>
      </c>
      <c r="I30" s="160"/>
    </row>
    <row r="31" spans="1:9" ht="21.75" customHeight="1">
      <c r="A31" s="157" t="s">
        <v>329</v>
      </c>
      <c r="B31" s="158">
        <f>B24*0.15+B25*0.2+B26*0.2+B27*0.15+B28*0.1+B29*0.1+B30*0.1</f>
        <v>7.75</v>
      </c>
      <c r="C31" s="158">
        <f>C24*0.15+C25*0.2+C26*0.2+C27*0.15+C28*0.1+C29*0.1+C30*0.1</f>
        <v>7.9</v>
      </c>
      <c r="D31" s="158">
        <f>D24*0.15+D25*0.2+D26*0.2+D27*0.15+D28*0.1+D29*0.1+D30*0.1</f>
        <v>7.15</v>
      </c>
      <c r="E31" s="158">
        <f>E24*0.15+E25*0.2+E26*0.2+E27*0.15+E28*0.1+E29*0.1+E30*0.1</f>
        <v>6.55</v>
      </c>
      <c r="F31" s="158">
        <f>F24*0.15+F25*0.2+F26*0.2+F27*0.15+F28*0.1+F29*0.1+F30*0.1</f>
        <v>7.9</v>
      </c>
      <c r="G31" s="158">
        <f>G24*0.15+G25*0.2+G26*0.2+G27*0.15+G28*0.1+G29*0.1+G30*0.1</f>
        <v>5.2</v>
      </c>
      <c r="H31" s="159">
        <f>H24*0.15+H25*0.2+H26*0.2+H27*0.15+H28*0.1+H29*0.1+H30*0.1</f>
        <v>5.4</v>
      </c>
      <c r="I31" s="160"/>
    </row>
  </sheetData>
  <mergeCells count="2">
    <mergeCell ref="A1:I1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showGridLines="0" zoomScaleNormal="100" workbookViewId="0">
      <selection activeCell="M18" sqref="M18"/>
    </sheetView>
  </sheetViews>
  <sheetFormatPr defaultColWidth="8.7109375" defaultRowHeight="15"/>
  <cols>
    <col min="1" max="1" width="28" style="1" customWidth="1"/>
    <col min="2" max="8" width="12" style="1" customWidth="1"/>
    <col min="9" max="9" width="10" style="1" customWidth="1"/>
    <col min="10" max="10" width="28.5703125" style="1" customWidth="1"/>
  </cols>
  <sheetData>
    <row r="1" spans="1:10" ht="27.75" customHeight="1">
      <c r="A1" s="4" t="s">
        <v>330</v>
      </c>
      <c r="B1" s="4"/>
      <c r="C1" s="4"/>
      <c r="D1" s="4"/>
      <c r="E1" s="4"/>
      <c r="F1" s="4"/>
      <c r="G1" s="4"/>
      <c r="H1" s="4"/>
      <c r="I1" s="4"/>
      <c r="J1" s="4"/>
    </row>
    <row r="3" spans="1:10" ht="47.25" customHeight="1">
      <c r="A3" s="3" t="s">
        <v>331</v>
      </c>
      <c r="B3" s="3"/>
      <c r="C3" s="3"/>
      <c r="D3" s="3"/>
      <c r="E3" s="3"/>
      <c r="F3" s="3"/>
      <c r="G3" s="3"/>
      <c r="H3" s="3"/>
      <c r="I3" s="3"/>
      <c r="J3" s="3"/>
    </row>
    <row r="4" spans="1:10" ht="32.25" customHeight="1">
      <c r="A4" s="133" t="s">
        <v>332</v>
      </c>
      <c r="B4" s="114"/>
      <c r="C4" s="114"/>
      <c r="D4" s="114"/>
      <c r="E4" s="88" t="s">
        <v>134</v>
      </c>
      <c r="F4" s="114" t="s">
        <v>135</v>
      </c>
      <c r="G4" s="114"/>
      <c r="H4" s="114"/>
      <c r="I4" s="114"/>
      <c r="J4" s="115"/>
    </row>
    <row r="5" spans="1:10" ht="15" customHeight="1">
      <c r="A5" s="175" t="s">
        <v>333</v>
      </c>
      <c r="B5" s="176"/>
      <c r="C5" s="176"/>
      <c r="D5" s="176"/>
      <c r="E5" s="177">
        <v>100</v>
      </c>
      <c r="F5" s="178" t="s">
        <v>334</v>
      </c>
      <c r="G5" s="178"/>
      <c r="H5" s="178"/>
      <c r="I5" s="178"/>
      <c r="J5" s="179"/>
    </row>
    <row r="6" spans="1:10" ht="15" customHeight="1">
      <c r="A6" s="180" t="s">
        <v>335</v>
      </c>
      <c r="B6" s="181"/>
      <c r="C6" s="181"/>
      <c r="D6" s="181"/>
      <c r="E6" s="182">
        <v>115000</v>
      </c>
      <c r="F6" s="183" t="s">
        <v>336</v>
      </c>
      <c r="G6" s="183"/>
      <c r="H6" s="183"/>
      <c r="I6" s="183"/>
      <c r="J6" s="184"/>
    </row>
    <row r="7" spans="1:10" ht="15" customHeight="1">
      <c r="A7" s="175" t="s">
        <v>337</v>
      </c>
      <c r="B7" s="176"/>
      <c r="C7" s="176"/>
      <c r="D7" s="176"/>
      <c r="E7" s="185">
        <v>105000</v>
      </c>
      <c r="F7" s="178" t="s">
        <v>338</v>
      </c>
      <c r="G7" s="178"/>
      <c r="H7" s="178"/>
      <c r="I7" s="178"/>
      <c r="J7" s="179"/>
    </row>
    <row r="8" spans="1:10" ht="15" customHeight="1">
      <c r="A8" s="180" t="s">
        <v>339</v>
      </c>
      <c r="B8" s="181"/>
      <c r="C8" s="181"/>
      <c r="D8" s="181"/>
      <c r="E8" s="182">
        <v>95000</v>
      </c>
      <c r="F8" s="183" t="s">
        <v>340</v>
      </c>
      <c r="G8" s="183"/>
      <c r="H8" s="183"/>
      <c r="I8" s="183"/>
      <c r="J8" s="184"/>
    </row>
    <row r="9" spans="1:10" ht="15" customHeight="1">
      <c r="A9" s="175" t="s">
        <v>341</v>
      </c>
      <c r="B9" s="176"/>
      <c r="C9" s="176"/>
      <c r="D9" s="176"/>
      <c r="E9" s="186">
        <v>0.22</v>
      </c>
      <c r="F9" s="178" t="s">
        <v>342</v>
      </c>
      <c r="G9" s="178"/>
      <c r="H9" s="178"/>
      <c r="I9" s="178"/>
      <c r="J9" s="179"/>
    </row>
    <row r="10" spans="1:10" ht="15" customHeight="1">
      <c r="A10" s="180" t="s">
        <v>343</v>
      </c>
      <c r="B10" s="181"/>
      <c r="C10" s="181"/>
      <c r="D10" s="181"/>
      <c r="E10" s="187">
        <v>0.12</v>
      </c>
      <c r="F10" s="183" t="s">
        <v>344</v>
      </c>
      <c r="G10" s="183"/>
      <c r="H10" s="183"/>
      <c r="I10" s="183"/>
      <c r="J10" s="184"/>
    </row>
    <row r="11" spans="1:10" ht="15" customHeight="1">
      <c r="A11" s="188" t="s">
        <v>345</v>
      </c>
      <c r="B11" s="189"/>
      <c r="C11" s="189"/>
      <c r="D11" s="189"/>
      <c r="E11" s="190">
        <v>2500</v>
      </c>
      <c r="F11" s="191" t="s">
        <v>346</v>
      </c>
      <c r="G11" s="191"/>
      <c r="H11" s="191"/>
      <c r="I11" s="191"/>
      <c r="J11" s="192"/>
    </row>
    <row r="13" spans="1:10" ht="39" customHeight="1">
      <c r="A13" s="3" t="s">
        <v>347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 ht="22.5" customHeight="1">
      <c r="A14" s="193" t="s">
        <v>348</v>
      </c>
      <c r="B14" s="194" t="s">
        <v>349</v>
      </c>
      <c r="C14" s="194" t="s">
        <v>350</v>
      </c>
      <c r="D14" s="194" t="s">
        <v>351</v>
      </c>
      <c r="E14" s="194" t="s">
        <v>352</v>
      </c>
      <c r="F14" s="194" t="s">
        <v>353</v>
      </c>
      <c r="G14" s="194" t="s">
        <v>354</v>
      </c>
      <c r="H14" s="194" t="s">
        <v>355</v>
      </c>
      <c r="I14" s="194" t="s">
        <v>356</v>
      </c>
      <c r="J14" s="195" t="s">
        <v>357</v>
      </c>
    </row>
    <row r="15" spans="1:10" ht="30" customHeight="1">
      <c r="A15" s="196" t="s">
        <v>358</v>
      </c>
      <c r="B15" s="197"/>
      <c r="C15" s="197"/>
      <c r="D15" s="197"/>
      <c r="E15" s="197"/>
      <c r="F15" s="197"/>
      <c r="G15" s="197"/>
      <c r="H15" s="197"/>
      <c r="I15" s="197"/>
      <c r="J15" s="198"/>
    </row>
    <row r="16" spans="1:10" ht="19.5" customHeight="1">
      <c r="A16" s="199" t="s">
        <v>359</v>
      </c>
      <c r="B16" s="200" t="s">
        <v>360</v>
      </c>
      <c r="C16" s="200" t="s">
        <v>361</v>
      </c>
      <c r="D16" s="200" t="s">
        <v>78</v>
      </c>
      <c r="E16" s="200" t="s">
        <v>362</v>
      </c>
      <c r="F16" s="200" t="s">
        <v>363</v>
      </c>
      <c r="G16" s="200" t="s">
        <v>76</v>
      </c>
      <c r="H16" s="200" t="s">
        <v>81</v>
      </c>
      <c r="I16" s="201" t="s">
        <v>75</v>
      </c>
      <c r="J16" s="202" t="s">
        <v>75</v>
      </c>
    </row>
    <row r="17" spans="1:10" ht="19.5" customHeight="1">
      <c r="A17" s="203" t="s">
        <v>364</v>
      </c>
      <c r="B17" s="155">
        <v>1.65</v>
      </c>
      <c r="C17" s="155">
        <v>2.5</v>
      </c>
      <c r="D17" s="155">
        <v>3.96</v>
      </c>
      <c r="E17" s="155">
        <v>6</v>
      </c>
      <c r="F17" s="155">
        <v>9.1</v>
      </c>
      <c r="G17" s="155">
        <v>13.1</v>
      </c>
      <c r="H17" s="155">
        <v>18</v>
      </c>
      <c r="I17" s="204">
        <f>((H17/B17)^(1/6))-1</f>
        <v>0.48924023174932274</v>
      </c>
      <c r="J17" s="205">
        <f>H17/B17-1</f>
        <v>9.9090909090909101</v>
      </c>
    </row>
    <row r="18" spans="1:10" ht="19.5" customHeight="1">
      <c r="A18" s="206" t="s">
        <v>365</v>
      </c>
      <c r="B18" s="207">
        <f>B17*$E$6/10000000</f>
        <v>1.8974999999999999E-2</v>
      </c>
      <c r="C18" s="207">
        <f>C17*$E$6/10000000</f>
        <v>2.8750000000000001E-2</v>
      </c>
      <c r="D18" s="207">
        <f>D17*$E$6/10000000</f>
        <v>4.5539999999999997E-2</v>
      </c>
      <c r="E18" s="207">
        <f>E17*$E$6/10000000</f>
        <v>6.9000000000000006E-2</v>
      </c>
      <c r="F18" s="207">
        <f>F17*$E$6/10000000</f>
        <v>0.10465000000000001</v>
      </c>
      <c r="G18" s="207">
        <f>G17*$E$6/10000000</f>
        <v>0.15065000000000001</v>
      </c>
      <c r="H18" s="207">
        <f>H17*$E$6/10000000</f>
        <v>0.20699999999999999</v>
      </c>
      <c r="I18" s="208">
        <f>((H18/B18)^(1/6))-1</f>
        <v>0.48924023174932274</v>
      </c>
      <c r="J18" s="209">
        <f>H18/B18-1</f>
        <v>9.9090909090909101</v>
      </c>
    </row>
    <row r="19" spans="1:10" ht="15" customHeight="1">
      <c r="A19" s="210"/>
      <c r="B19" s="210"/>
      <c r="C19" s="210"/>
      <c r="D19" s="210"/>
      <c r="E19" s="210"/>
      <c r="F19" s="210"/>
      <c r="G19" s="210"/>
      <c r="H19" s="210"/>
      <c r="I19" s="210"/>
      <c r="J19" s="210"/>
    </row>
    <row r="20" spans="1:10" ht="22.5" customHeight="1">
      <c r="A20" s="211" t="s">
        <v>366</v>
      </c>
      <c r="B20" s="212"/>
      <c r="C20" s="212"/>
      <c r="D20" s="212"/>
      <c r="E20" s="212"/>
      <c r="F20" s="212"/>
      <c r="G20" s="212"/>
      <c r="H20" s="212"/>
      <c r="I20" s="212"/>
      <c r="J20" s="213"/>
    </row>
    <row r="21" spans="1:10" ht="19.5" customHeight="1">
      <c r="A21" s="203" t="s">
        <v>359</v>
      </c>
      <c r="B21" s="214" t="s">
        <v>367</v>
      </c>
      <c r="C21" s="214" t="s">
        <v>368</v>
      </c>
      <c r="D21" s="214" t="s">
        <v>369</v>
      </c>
      <c r="E21" s="214" t="s">
        <v>360</v>
      </c>
      <c r="F21" s="214" t="s">
        <v>361</v>
      </c>
      <c r="G21" s="214" t="s">
        <v>78</v>
      </c>
      <c r="H21" s="214" t="s">
        <v>370</v>
      </c>
      <c r="I21" s="215" t="s">
        <v>75</v>
      </c>
      <c r="J21" s="216" t="s">
        <v>75</v>
      </c>
    </row>
    <row r="22" spans="1:10" ht="19.5" customHeight="1">
      <c r="A22" s="203" t="s">
        <v>364</v>
      </c>
      <c r="B22" s="214">
        <v>1.65</v>
      </c>
      <c r="C22" s="214">
        <v>2.2000000000000002</v>
      </c>
      <c r="D22" s="214">
        <v>3.3</v>
      </c>
      <c r="E22" s="214">
        <v>4.8</v>
      </c>
      <c r="F22" s="214">
        <v>7</v>
      </c>
      <c r="G22" s="214">
        <v>10.199999999999999</v>
      </c>
      <c r="H22" s="214">
        <v>14</v>
      </c>
      <c r="I22" s="215">
        <f>((H22/B22)^(1/6))-1</f>
        <v>0.4281506281949401</v>
      </c>
      <c r="J22" s="216">
        <f>H22/B22-1</f>
        <v>7.4848484848484844</v>
      </c>
    </row>
    <row r="23" spans="1:10" ht="19.5" customHeight="1">
      <c r="A23" s="206" t="s">
        <v>371</v>
      </c>
      <c r="B23" s="217">
        <f>B22*$E$7/10000000</f>
        <v>1.7325E-2</v>
      </c>
      <c r="C23" s="217">
        <f>C22*$E$7/10000000</f>
        <v>2.3100000000000002E-2</v>
      </c>
      <c r="D23" s="217">
        <f>D22*$E$7/10000000</f>
        <v>3.465E-2</v>
      </c>
      <c r="E23" s="217">
        <f>E22*$E$7/10000000</f>
        <v>5.04E-2</v>
      </c>
      <c r="F23" s="217">
        <f>F22*$E$7/10000000</f>
        <v>7.3499999999999996E-2</v>
      </c>
      <c r="G23" s="217">
        <f>G22*$E$7/10000000</f>
        <v>0.1071</v>
      </c>
      <c r="H23" s="217">
        <f>H22*$E$7/10000000</f>
        <v>0.14699999999999999</v>
      </c>
      <c r="I23" s="218">
        <f>((H23/B23)^(1/6))-1</f>
        <v>0.4281506281949401</v>
      </c>
      <c r="J23" s="219">
        <f>H23/B23-1</f>
        <v>7.4848484848484844</v>
      </c>
    </row>
    <row r="24" spans="1:10" ht="15" customHeight="1">
      <c r="A24" s="210"/>
      <c r="B24" s="210"/>
      <c r="C24" s="210"/>
      <c r="D24" s="210"/>
      <c r="E24" s="210"/>
      <c r="F24" s="210"/>
      <c r="G24" s="210"/>
      <c r="H24" s="210"/>
      <c r="I24" s="210"/>
      <c r="J24" s="210"/>
    </row>
    <row r="25" spans="1:10" ht="25.5" customHeight="1">
      <c r="A25" s="220" t="s">
        <v>372</v>
      </c>
      <c r="B25" s="221"/>
      <c r="C25" s="221"/>
      <c r="D25" s="221"/>
      <c r="E25" s="221"/>
      <c r="F25" s="221"/>
      <c r="G25" s="221"/>
      <c r="H25" s="221"/>
      <c r="I25" s="221"/>
      <c r="J25" s="222"/>
    </row>
    <row r="26" spans="1:10" ht="19.5" customHeight="1">
      <c r="A26" s="203" t="s">
        <v>359</v>
      </c>
      <c r="B26" s="223" t="s">
        <v>367</v>
      </c>
      <c r="C26" s="223" t="s">
        <v>373</v>
      </c>
      <c r="D26" s="223" t="s">
        <v>374</v>
      </c>
      <c r="E26" s="223" t="s">
        <v>374</v>
      </c>
      <c r="F26" s="223" t="s">
        <v>374</v>
      </c>
      <c r="G26" s="223" t="s">
        <v>374</v>
      </c>
      <c r="H26" s="223" t="s">
        <v>374</v>
      </c>
      <c r="I26" s="224" t="s">
        <v>75</v>
      </c>
      <c r="J26" s="225" t="s">
        <v>75</v>
      </c>
    </row>
    <row r="27" spans="1:10" ht="19.5" customHeight="1">
      <c r="A27" s="203" t="s">
        <v>364</v>
      </c>
      <c r="B27" s="223">
        <v>1.65</v>
      </c>
      <c r="C27" s="223">
        <v>1.8</v>
      </c>
      <c r="D27" s="223">
        <v>2</v>
      </c>
      <c r="E27" s="223">
        <v>2.8</v>
      </c>
      <c r="F27" s="223">
        <v>3.9</v>
      </c>
      <c r="G27" s="223">
        <v>5.2</v>
      </c>
      <c r="H27" s="223">
        <v>7</v>
      </c>
      <c r="I27" s="224">
        <f>((H27/B27)^(1/6))-1</f>
        <v>0.27233756397019238</v>
      </c>
      <c r="J27" s="225">
        <f>H27/B27-1</f>
        <v>3.2424242424242422</v>
      </c>
    </row>
    <row r="28" spans="1:10" ht="19.5" customHeight="1">
      <c r="A28" s="206" t="s">
        <v>375</v>
      </c>
      <c r="B28" s="226">
        <f>B27*$E$8/10000000</f>
        <v>1.5675000000000001E-2</v>
      </c>
      <c r="C28" s="226">
        <f>C27*$E$8/10000000</f>
        <v>1.7100000000000001E-2</v>
      </c>
      <c r="D28" s="226">
        <f>D27*$E$8/10000000</f>
        <v>1.9E-2</v>
      </c>
      <c r="E28" s="226">
        <f>E27*$E$8/10000000</f>
        <v>2.6599999999999999E-2</v>
      </c>
      <c r="F28" s="226">
        <f>F27*$E$8/10000000</f>
        <v>3.705E-2</v>
      </c>
      <c r="G28" s="226">
        <f>G27*$E$8/10000000</f>
        <v>4.9399999999999999E-2</v>
      </c>
      <c r="H28" s="226">
        <f>H27*$E$8/10000000</f>
        <v>6.6500000000000004E-2</v>
      </c>
      <c r="I28" s="227">
        <f>((H28/B28)^(1/6))-1</f>
        <v>0.27233756397019238</v>
      </c>
      <c r="J28" s="228">
        <f>H28/B28-1</f>
        <v>3.2424242424242422</v>
      </c>
    </row>
  </sheetData>
  <mergeCells count="22">
    <mergeCell ref="A1:J1"/>
    <mergeCell ref="A3:J3"/>
    <mergeCell ref="A4:D4"/>
    <mergeCell ref="F4:J4"/>
    <mergeCell ref="A5:D5"/>
    <mergeCell ref="F5:J5"/>
    <mergeCell ref="A6:D6"/>
    <mergeCell ref="F6:J6"/>
    <mergeCell ref="A7:D7"/>
    <mergeCell ref="F7:J7"/>
    <mergeCell ref="A8:D8"/>
    <mergeCell ref="F8:J8"/>
    <mergeCell ref="A13:J13"/>
    <mergeCell ref="A15:J15"/>
    <mergeCell ref="A20:J20"/>
    <mergeCell ref="A25:J25"/>
    <mergeCell ref="A9:D9"/>
    <mergeCell ref="F9:J9"/>
    <mergeCell ref="A10:D10"/>
    <mergeCell ref="F10:J10"/>
    <mergeCell ref="A11:D11"/>
    <mergeCell ref="F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showGridLines="0" topLeftCell="A16" zoomScaleNormal="100" workbookViewId="0">
      <selection activeCell="L17" sqref="L17"/>
    </sheetView>
  </sheetViews>
  <sheetFormatPr defaultColWidth="8.7109375" defaultRowHeight="15"/>
  <cols>
    <col min="1" max="1" width="8" style="1" customWidth="1"/>
    <col min="2" max="2" width="38" style="1" customWidth="1"/>
    <col min="3" max="3" width="8" style="1" customWidth="1"/>
    <col min="4" max="4" width="37.85546875" style="1" customWidth="1"/>
    <col min="5" max="5" width="8" style="1" customWidth="1"/>
    <col min="6" max="6" width="38" style="1" customWidth="1"/>
    <col min="7" max="7" width="8" style="1" customWidth="1"/>
    <col min="8" max="8" width="44.5703125" style="1" customWidth="1"/>
  </cols>
  <sheetData>
    <row r="1" spans="1:8" ht="27.75" customHeight="1">
      <c r="A1" s="4" t="s">
        <v>376</v>
      </c>
      <c r="B1" s="4"/>
      <c r="C1" s="4"/>
      <c r="D1" s="4"/>
      <c r="E1" s="4"/>
      <c r="F1" s="4"/>
      <c r="G1" s="4"/>
      <c r="H1" s="4"/>
    </row>
    <row r="3" spans="1:8" ht="25.5" customHeight="1">
      <c r="A3" s="19" t="s">
        <v>377</v>
      </c>
      <c r="B3" s="20"/>
      <c r="C3" s="20"/>
      <c r="D3" s="26"/>
      <c r="E3" s="23" t="s">
        <v>378</v>
      </c>
      <c r="F3" s="24"/>
      <c r="G3" s="24"/>
      <c r="H3" s="25"/>
    </row>
    <row r="4" spans="1:8" ht="25.5" customHeight="1">
      <c r="A4" s="21" t="s">
        <v>379</v>
      </c>
      <c r="B4" s="229" t="s">
        <v>380</v>
      </c>
      <c r="C4" s="229"/>
      <c r="D4" s="230"/>
      <c r="E4" s="231" t="s">
        <v>381</v>
      </c>
      <c r="F4" s="232" t="s">
        <v>382</v>
      </c>
      <c r="G4" s="232"/>
      <c r="H4" s="233"/>
    </row>
    <row r="5" spans="1:8" ht="25.5" customHeight="1">
      <c r="A5" s="21" t="s">
        <v>383</v>
      </c>
      <c r="B5" s="229" t="s">
        <v>384</v>
      </c>
      <c r="C5" s="229"/>
      <c r="D5" s="230"/>
      <c r="E5" s="231" t="s">
        <v>385</v>
      </c>
      <c r="F5" s="232" t="s">
        <v>386</v>
      </c>
      <c r="G5" s="232"/>
      <c r="H5" s="233"/>
    </row>
    <row r="6" spans="1:8" ht="25.5" customHeight="1">
      <c r="A6" s="21" t="s">
        <v>387</v>
      </c>
      <c r="B6" s="229" t="s">
        <v>388</v>
      </c>
      <c r="C6" s="229"/>
      <c r="D6" s="230"/>
      <c r="E6" s="231" t="s">
        <v>389</v>
      </c>
      <c r="F6" s="232" t="s">
        <v>390</v>
      </c>
      <c r="G6" s="232"/>
      <c r="H6" s="233"/>
    </row>
    <row r="7" spans="1:8" ht="25.5" customHeight="1">
      <c r="A7" s="21" t="s">
        <v>391</v>
      </c>
      <c r="B7" s="229" t="s">
        <v>392</v>
      </c>
      <c r="C7" s="229"/>
      <c r="D7" s="230"/>
      <c r="E7" s="231" t="s">
        <v>393</v>
      </c>
      <c r="F7" s="232" t="s">
        <v>394</v>
      </c>
      <c r="G7" s="232"/>
      <c r="H7" s="233"/>
    </row>
    <row r="8" spans="1:8" ht="25.5" customHeight="1">
      <c r="A8" s="21" t="s">
        <v>395</v>
      </c>
      <c r="B8" s="229" t="s">
        <v>396</v>
      </c>
      <c r="C8" s="229"/>
      <c r="D8" s="230"/>
      <c r="E8" s="231" t="s">
        <v>397</v>
      </c>
      <c r="F8" s="232" t="s">
        <v>398</v>
      </c>
      <c r="G8" s="232"/>
      <c r="H8" s="233"/>
    </row>
    <row r="9" spans="1:8" ht="46.5" customHeight="1">
      <c r="A9" s="22" t="s">
        <v>399</v>
      </c>
      <c r="B9" s="234" t="s">
        <v>400</v>
      </c>
      <c r="C9" s="234"/>
      <c r="D9" s="235"/>
      <c r="E9" s="236" t="s">
        <v>401</v>
      </c>
      <c r="F9" s="237" t="s">
        <v>402</v>
      </c>
      <c r="G9" s="237"/>
      <c r="H9" s="238"/>
    </row>
    <row r="16" spans="1:8" ht="25.5" customHeight="1">
      <c r="A16" s="27" t="s">
        <v>403</v>
      </c>
      <c r="B16" s="28"/>
      <c r="C16" s="28"/>
      <c r="D16" s="28"/>
      <c r="E16" s="31" t="s">
        <v>404</v>
      </c>
      <c r="F16" s="32"/>
      <c r="G16" s="32"/>
      <c r="H16" s="33"/>
    </row>
    <row r="17" spans="1:8" ht="25.5" customHeight="1">
      <c r="A17" s="29" t="s">
        <v>405</v>
      </c>
      <c r="B17" s="239" t="s">
        <v>406</v>
      </c>
      <c r="C17" s="239"/>
      <c r="D17" s="240"/>
      <c r="E17" s="241" t="s">
        <v>407</v>
      </c>
      <c r="F17" s="242" t="s">
        <v>408</v>
      </c>
      <c r="G17" s="242"/>
      <c r="H17" s="243"/>
    </row>
    <row r="18" spans="1:8" ht="25.5" customHeight="1">
      <c r="A18" s="29" t="s">
        <v>409</v>
      </c>
      <c r="B18" s="239" t="s">
        <v>410</v>
      </c>
      <c r="C18" s="239"/>
      <c r="D18" s="240"/>
      <c r="E18" s="241" t="s">
        <v>411</v>
      </c>
      <c r="F18" s="242" t="s">
        <v>412</v>
      </c>
      <c r="G18" s="242"/>
      <c r="H18" s="243"/>
    </row>
    <row r="19" spans="1:8" ht="25.5" customHeight="1">
      <c r="A19" s="29" t="s">
        <v>413</v>
      </c>
      <c r="B19" s="239" t="s">
        <v>414</v>
      </c>
      <c r="C19" s="239"/>
      <c r="D19" s="240"/>
      <c r="E19" s="241" t="s">
        <v>415</v>
      </c>
      <c r="F19" s="242" t="s">
        <v>416</v>
      </c>
      <c r="G19" s="242"/>
      <c r="H19" s="243"/>
    </row>
    <row r="20" spans="1:8" ht="25.5" customHeight="1">
      <c r="A20" s="29" t="s">
        <v>417</v>
      </c>
      <c r="B20" s="239" t="s">
        <v>418</v>
      </c>
      <c r="C20" s="239"/>
      <c r="D20" s="240"/>
      <c r="E20" s="241" t="s">
        <v>419</v>
      </c>
      <c r="F20" s="242" t="s">
        <v>420</v>
      </c>
      <c r="G20" s="242"/>
      <c r="H20" s="243"/>
    </row>
    <row r="21" spans="1:8" ht="25.5" customHeight="1">
      <c r="A21" s="29" t="s">
        <v>421</v>
      </c>
      <c r="B21" s="239" t="s">
        <v>422</v>
      </c>
      <c r="C21" s="239"/>
      <c r="D21" s="240"/>
      <c r="E21" s="241" t="s">
        <v>423</v>
      </c>
      <c r="F21" s="242" t="s">
        <v>424</v>
      </c>
      <c r="G21" s="242"/>
      <c r="H21" s="243"/>
    </row>
    <row r="22" spans="1:8" ht="25.5" customHeight="1">
      <c r="A22" s="30" t="s">
        <v>425</v>
      </c>
      <c r="B22" s="244" t="s">
        <v>426</v>
      </c>
      <c r="C22" s="244"/>
      <c r="D22" s="245"/>
      <c r="E22" s="246" t="s">
        <v>427</v>
      </c>
      <c r="F22" s="247" t="s">
        <v>428</v>
      </c>
      <c r="G22" s="247"/>
      <c r="H22" s="248"/>
    </row>
  </sheetData>
  <mergeCells count="29">
    <mergeCell ref="A1:H1"/>
    <mergeCell ref="A3:D3"/>
    <mergeCell ref="E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6:D16"/>
    <mergeCell ref="E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D21"/>
    <mergeCell ref="F21:H21"/>
    <mergeCell ref="B22:D22"/>
    <mergeCell ref="F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topLeftCell="A12" zoomScaleNormal="100" workbookViewId="0">
      <selection activeCell="M23" sqref="M23"/>
    </sheetView>
  </sheetViews>
  <sheetFormatPr defaultColWidth="8.7109375" defaultRowHeight="15"/>
  <cols>
    <col min="1" max="1" width="6" style="1" customWidth="1"/>
    <col min="2" max="2" width="30" style="1" customWidth="1"/>
    <col min="3" max="3" width="19.85546875" style="1" customWidth="1"/>
    <col min="4" max="5" width="16" style="1" customWidth="1"/>
    <col min="6" max="7" width="14" style="1" customWidth="1"/>
    <col min="8" max="8" width="50.7109375" style="1" customWidth="1"/>
  </cols>
  <sheetData>
    <row r="1" spans="1:8" ht="30" customHeight="1">
      <c r="A1" s="4" t="s">
        <v>429</v>
      </c>
      <c r="B1" s="4"/>
      <c r="C1" s="4"/>
      <c r="D1" s="4"/>
      <c r="E1" s="4"/>
      <c r="F1" s="4"/>
      <c r="G1" s="4"/>
      <c r="H1" s="4"/>
    </row>
    <row r="3" spans="1:8" ht="30" customHeight="1">
      <c r="A3" s="268" t="s">
        <v>430</v>
      </c>
      <c r="B3" s="269"/>
      <c r="C3" s="269"/>
      <c r="D3" s="269"/>
      <c r="E3" s="269"/>
      <c r="F3" s="269"/>
      <c r="G3" s="269"/>
      <c r="H3" s="270"/>
    </row>
    <row r="4" spans="1:8" ht="15" customHeight="1">
      <c r="A4" s="271"/>
      <c r="B4" s="8"/>
      <c r="C4" s="8"/>
      <c r="D4" s="8"/>
      <c r="E4" s="8"/>
      <c r="F4" s="8"/>
      <c r="G4" s="8"/>
      <c r="H4" s="272"/>
    </row>
    <row r="5" spans="1:8" ht="15" customHeight="1">
      <c r="A5" s="273"/>
      <c r="B5" s="274"/>
      <c r="C5" s="274"/>
      <c r="D5" s="274"/>
      <c r="E5" s="274"/>
      <c r="F5" s="274"/>
      <c r="G5" s="274"/>
      <c r="H5" s="275"/>
    </row>
    <row r="6" spans="1:8" ht="32.25" customHeight="1">
      <c r="A6" s="276" t="s">
        <v>431</v>
      </c>
      <c r="B6" s="276"/>
      <c r="C6" s="276"/>
      <c r="D6" s="276"/>
      <c r="E6" s="276"/>
      <c r="F6" s="276"/>
      <c r="G6" s="276"/>
      <c r="H6" s="276"/>
    </row>
    <row r="7" spans="1:8" ht="20.25" customHeight="1">
      <c r="A7" s="65" t="s">
        <v>432</v>
      </c>
      <c r="B7" s="65"/>
      <c r="C7" s="64" t="s">
        <v>93</v>
      </c>
      <c r="D7" s="65" t="s">
        <v>433</v>
      </c>
      <c r="E7" s="65"/>
      <c r="F7" s="65"/>
      <c r="G7" s="65"/>
      <c r="H7" s="65"/>
    </row>
    <row r="8" spans="1:8" ht="27.75" customHeight="1">
      <c r="A8" s="249" t="s">
        <v>434</v>
      </c>
      <c r="B8" s="250"/>
      <c r="C8" s="251" t="s">
        <v>435</v>
      </c>
      <c r="D8" s="66" t="s">
        <v>436</v>
      </c>
      <c r="E8" s="66"/>
      <c r="F8" s="66"/>
      <c r="G8" s="66"/>
      <c r="H8" s="252"/>
    </row>
    <row r="9" spans="1:8" ht="27.75" customHeight="1">
      <c r="A9" s="253" t="s">
        <v>437</v>
      </c>
      <c r="B9" s="254"/>
      <c r="C9" s="255" t="s">
        <v>129</v>
      </c>
      <c r="D9" s="70" t="s">
        <v>438</v>
      </c>
      <c r="E9" s="70"/>
      <c r="F9" s="70"/>
      <c r="G9" s="70"/>
      <c r="H9" s="139"/>
    </row>
    <row r="10" spans="1:8" ht="27.75" customHeight="1">
      <c r="A10" s="256" t="s">
        <v>439</v>
      </c>
      <c r="B10" s="109"/>
      <c r="C10" s="257" t="s">
        <v>79</v>
      </c>
      <c r="D10" s="74" t="s">
        <v>440</v>
      </c>
      <c r="E10" s="74"/>
      <c r="F10" s="74"/>
      <c r="G10" s="74"/>
      <c r="H10" s="136"/>
    </row>
    <row r="11" spans="1:8" ht="27.75" customHeight="1">
      <c r="A11" s="258" t="s">
        <v>441</v>
      </c>
      <c r="B11" s="259"/>
      <c r="C11" s="260" t="s">
        <v>374</v>
      </c>
      <c r="D11" s="83" t="s">
        <v>442</v>
      </c>
      <c r="E11" s="83"/>
      <c r="F11" s="83"/>
      <c r="G11" s="83"/>
      <c r="H11" s="142"/>
    </row>
    <row r="13" spans="1:8" ht="32.25" customHeight="1">
      <c r="A13" s="2" t="s">
        <v>443</v>
      </c>
      <c r="B13" s="2"/>
      <c r="C13" s="2"/>
      <c r="D13" s="2"/>
      <c r="E13" s="2"/>
      <c r="F13" s="2"/>
      <c r="G13" s="2"/>
      <c r="H13" s="2"/>
    </row>
    <row r="14" spans="1:8" ht="27.75" customHeight="1">
      <c r="A14" s="10" t="s">
        <v>444</v>
      </c>
      <c r="B14" s="11" t="s">
        <v>445</v>
      </c>
      <c r="C14" s="11"/>
      <c r="D14" s="11" t="s">
        <v>446</v>
      </c>
      <c r="E14" s="11"/>
      <c r="F14" s="11"/>
      <c r="G14" s="11"/>
      <c r="H14" s="11"/>
    </row>
    <row r="15" spans="1:8" ht="31.5" customHeight="1">
      <c r="A15" s="34" t="s">
        <v>447</v>
      </c>
      <c r="B15" s="261" t="s">
        <v>448</v>
      </c>
      <c r="C15" s="262"/>
      <c r="D15" s="66" t="s">
        <v>449</v>
      </c>
      <c r="E15" s="66"/>
      <c r="F15" s="66"/>
      <c r="G15" s="66"/>
      <c r="H15" s="252"/>
    </row>
    <row r="16" spans="1:8" ht="31.5" customHeight="1">
      <c r="A16" s="35" t="s">
        <v>450</v>
      </c>
      <c r="B16" s="263" t="s">
        <v>451</v>
      </c>
      <c r="C16" s="181"/>
      <c r="D16" s="70" t="s">
        <v>452</v>
      </c>
      <c r="E16" s="70"/>
      <c r="F16" s="70"/>
      <c r="G16" s="70"/>
      <c r="H16" s="139"/>
    </row>
    <row r="17" spans="1:8" ht="31.5" customHeight="1">
      <c r="A17" s="35" t="s">
        <v>453</v>
      </c>
      <c r="B17" s="264" t="s">
        <v>454</v>
      </c>
      <c r="C17" s="176"/>
      <c r="D17" s="74" t="s">
        <v>455</v>
      </c>
      <c r="E17" s="74"/>
      <c r="F17" s="74"/>
      <c r="G17" s="74"/>
      <c r="H17" s="136"/>
    </row>
    <row r="18" spans="1:8" ht="31.5" customHeight="1">
      <c r="A18" s="35" t="s">
        <v>456</v>
      </c>
      <c r="B18" s="263" t="s">
        <v>457</v>
      </c>
      <c r="C18" s="181"/>
      <c r="D18" s="70" t="s">
        <v>458</v>
      </c>
      <c r="E18" s="70"/>
      <c r="F18" s="70"/>
      <c r="G18" s="70"/>
      <c r="H18" s="139"/>
    </row>
    <row r="19" spans="1:8" ht="31.5" customHeight="1">
      <c r="A19" s="35" t="s">
        <v>459</v>
      </c>
      <c r="B19" s="264" t="s">
        <v>460</v>
      </c>
      <c r="C19" s="176"/>
      <c r="D19" s="74" t="s">
        <v>461</v>
      </c>
      <c r="E19" s="74"/>
      <c r="F19" s="74"/>
      <c r="G19" s="74"/>
      <c r="H19" s="136"/>
    </row>
    <row r="20" spans="1:8" ht="31.5" customHeight="1">
      <c r="A20" s="35" t="s">
        <v>462</v>
      </c>
      <c r="B20" s="263" t="s">
        <v>463</v>
      </c>
      <c r="C20" s="181"/>
      <c r="D20" s="70" t="s">
        <v>464</v>
      </c>
      <c r="E20" s="70"/>
      <c r="F20" s="70"/>
      <c r="G20" s="70"/>
      <c r="H20" s="139"/>
    </row>
    <row r="21" spans="1:8" ht="31.5" customHeight="1">
      <c r="A21" s="36" t="s">
        <v>465</v>
      </c>
      <c r="B21" s="265" t="s">
        <v>466</v>
      </c>
      <c r="C21" s="189"/>
      <c r="D21" s="266" t="s">
        <v>467</v>
      </c>
      <c r="E21" s="266"/>
      <c r="F21" s="266"/>
      <c r="G21" s="266"/>
      <c r="H21" s="267"/>
    </row>
    <row r="23" spans="1:8" ht="60" customHeight="1">
      <c r="A23" s="277" t="s">
        <v>468</v>
      </c>
      <c r="B23" s="278"/>
      <c r="C23" s="278"/>
      <c r="D23" s="278"/>
      <c r="E23" s="278"/>
      <c r="F23" s="278"/>
      <c r="G23" s="278"/>
      <c r="H23" s="279"/>
    </row>
    <row r="24" spans="1:8" ht="15" customHeight="1">
      <c r="A24" s="280"/>
      <c r="B24" s="281"/>
      <c r="C24" s="281"/>
      <c r="D24" s="281"/>
      <c r="E24" s="281"/>
      <c r="F24" s="281"/>
      <c r="G24" s="281"/>
      <c r="H24" s="282"/>
    </row>
    <row r="25" spans="1:8" ht="15" customHeight="1">
      <c r="A25" s="283"/>
      <c r="B25" s="284"/>
      <c r="C25" s="284"/>
      <c r="D25" s="284"/>
      <c r="E25" s="284"/>
      <c r="F25" s="284"/>
      <c r="G25" s="284"/>
      <c r="H25" s="285"/>
    </row>
  </sheetData>
  <mergeCells count="31">
    <mergeCell ref="A1:H1"/>
    <mergeCell ref="A3:H5"/>
    <mergeCell ref="A6:H6"/>
    <mergeCell ref="A7:B7"/>
    <mergeCell ref="D7:H7"/>
    <mergeCell ref="A8:B8"/>
    <mergeCell ref="D8:H8"/>
    <mergeCell ref="A9:B9"/>
    <mergeCell ref="D9:H9"/>
    <mergeCell ref="A10:B10"/>
    <mergeCell ref="D10:H10"/>
    <mergeCell ref="A11:B11"/>
    <mergeCell ref="D11:H11"/>
    <mergeCell ref="A13:H13"/>
    <mergeCell ref="B14:C14"/>
    <mergeCell ref="D14:H14"/>
    <mergeCell ref="B15:C15"/>
    <mergeCell ref="D15:H15"/>
    <mergeCell ref="B16:C16"/>
    <mergeCell ref="D16:H16"/>
    <mergeCell ref="B17:C17"/>
    <mergeCell ref="D17:H17"/>
    <mergeCell ref="B21:C21"/>
    <mergeCell ref="D21:H21"/>
    <mergeCell ref="A23:H25"/>
    <mergeCell ref="B18:C18"/>
    <mergeCell ref="D18:H18"/>
    <mergeCell ref="B19:C19"/>
    <mergeCell ref="D19:H19"/>
    <mergeCell ref="B20:C20"/>
    <mergeCell ref="D20:H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2026-06-01T11:18:07Z</dcterms:created>
  <dcterms:modified xsi:type="dcterms:W3CDTF">2026-06-01T12:28:46Z</dcterms:modified>
  <cp:category/>
  <cp:contentStatus/>
</cp:coreProperties>
</file>